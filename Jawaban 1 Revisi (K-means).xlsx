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 workplus\Documents\Tugas-Tugas Kuliah\"/>
    </mc:Choice>
  </mc:AlternateContent>
  <xr:revisionPtr revIDLastSave="0" documentId="13_ncr:1_{FBD9FB57-8A31-4A30-BFFB-2BFAAB7118C8}" xr6:coauthVersionLast="47" xr6:coauthVersionMax="47" xr10:uidLastSave="{00000000-0000-0000-0000-000000000000}"/>
  <bookViews>
    <workbookView xWindow="-110" yWindow="-110" windowWidth="19420" windowHeight="11500" xr2:uid="{C19F8D96-1E2B-492B-90E9-F509AAEA4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3" i="1" l="1"/>
  <c r="D66" i="1"/>
  <c r="F25" i="1"/>
  <c r="E26" i="1"/>
  <c r="E27" i="1"/>
  <c r="E28" i="1"/>
  <c r="E29" i="1"/>
  <c r="E30" i="1"/>
  <c r="E31" i="1"/>
  <c r="E32" i="1"/>
  <c r="E33" i="1"/>
  <c r="E34" i="1"/>
  <c r="E25" i="1"/>
  <c r="F19" i="1"/>
  <c r="D19" i="1"/>
  <c r="F18" i="1"/>
  <c r="D18" i="1"/>
  <c r="D20" i="1"/>
  <c r="H185" i="1"/>
  <c r="H184" i="1"/>
  <c r="H183" i="1"/>
  <c r="H182" i="1"/>
  <c r="H181" i="1"/>
  <c r="H180" i="1"/>
  <c r="H179" i="1"/>
  <c r="H178" i="1"/>
  <c r="H177" i="1"/>
  <c r="H176" i="1"/>
  <c r="H175" i="1"/>
  <c r="G176" i="1"/>
  <c r="G177" i="1"/>
  <c r="G178" i="1"/>
  <c r="G179" i="1"/>
  <c r="G180" i="1"/>
  <c r="G181" i="1"/>
  <c r="G182" i="1"/>
  <c r="G183" i="1"/>
  <c r="G184" i="1"/>
  <c r="G175" i="1"/>
  <c r="F176" i="1"/>
  <c r="F177" i="1"/>
  <c r="F178" i="1"/>
  <c r="F179" i="1"/>
  <c r="F180" i="1"/>
  <c r="F181" i="1"/>
  <c r="F182" i="1"/>
  <c r="F183" i="1"/>
  <c r="F184" i="1"/>
  <c r="F175" i="1"/>
  <c r="E175" i="1"/>
  <c r="E176" i="1"/>
  <c r="E177" i="1"/>
  <c r="E178" i="1"/>
  <c r="E179" i="1"/>
  <c r="E180" i="1"/>
  <c r="E181" i="1"/>
  <c r="E182" i="1"/>
  <c r="E183" i="1"/>
  <c r="E184" i="1"/>
  <c r="E126" i="1"/>
  <c r="F170" i="1"/>
  <c r="F168" i="1"/>
  <c r="F169" i="1"/>
  <c r="D170" i="1"/>
  <c r="D169" i="1"/>
  <c r="D168" i="1"/>
  <c r="I164" i="1"/>
  <c r="J164" i="1"/>
  <c r="K164" i="1"/>
  <c r="L164" i="1"/>
  <c r="M164" i="1"/>
  <c r="H164" i="1"/>
  <c r="H135" i="1"/>
  <c r="H134" i="1"/>
  <c r="H133" i="1"/>
  <c r="H132" i="1"/>
  <c r="H131" i="1"/>
  <c r="H130" i="1"/>
  <c r="H129" i="1"/>
  <c r="H128" i="1"/>
  <c r="H127" i="1"/>
  <c r="H126" i="1"/>
  <c r="H136" i="1" s="1"/>
  <c r="G135" i="1"/>
  <c r="G127" i="1"/>
  <c r="G128" i="1"/>
  <c r="G129" i="1"/>
  <c r="G130" i="1"/>
  <c r="G131" i="1"/>
  <c r="G132" i="1"/>
  <c r="G133" i="1"/>
  <c r="G134" i="1"/>
  <c r="G126" i="1"/>
  <c r="F126" i="1"/>
  <c r="F127" i="1"/>
  <c r="F128" i="1"/>
  <c r="F129" i="1"/>
  <c r="F130" i="1"/>
  <c r="F131" i="1"/>
  <c r="F132" i="1"/>
  <c r="F133" i="1"/>
  <c r="F134" i="1"/>
  <c r="F135" i="1"/>
  <c r="E127" i="1"/>
  <c r="E128" i="1"/>
  <c r="E129" i="1"/>
  <c r="E130" i="1"/>
  <c r="E131" i="1"/>
  <c r="E132" i="1"/>
  <c r="E133" i="1"/>
  <c r="E134" i="1"/>
  <c r="E135" i="1"/>
  <c r="F121" i="1"/>
  <c r="F120" i="1"/>
  <c r="F119" i="1"/>
  <c r="D121" i="1"/>
  <c r="D120" i="1"/>
  <c r="D119" i="1"/>
  <c r="I115" i="1"/>
  <c r="J115" i="1"/>
  <c r="K115" i="1"/>
  <c r="L115" i="1"/>
  <c r="M115" i="1"/>
  <c r="H115" i="1"/>
  <c r="H82" i="1"/>
  <c r="H81" i="1"/>
  <c r="H80" i="1"/>
  <c r="H79" i="1"/>
  <c r="H78" i="1"/>
  <c r="H77" i="1"/>
  <c r="H76" i="1"/>
  <c r="H75" i="1"/>
  <c r="H74" i="1"/>
  <c r="H73" i="1"/>
  <c r="H83" i="1" s="1"/>
  <c r="G74" i="1"/>
  <c r="G75" i="1"/>
  <c r="G76" i="1"/>
  <c r="G77" i="1"/>
  <c r="G78" i="1"/>
  <c r="G79" i="1"/>
  <c r="G80" i="1"/>
  <c r="G81" i="1"/>
  <c r="G82" i="1"/>
  <c r="G73" i="1"/>
  <c r="F73" i="1"/>
  <c r="F74" i="1"/>
  <c r="F75" i="1"/>
  <c r="F76" i="1"/>
  <c r="F77" i="1"/>
  <c r="F78" i="1"/>
  <c r="F79" i="1"/>
  <c r="F80" i="1"/>
  <c r="F81" i="1"/>
  <c r="F82" i="1"/>
  <c r="E82" i="1"/>
  <c r="E74" i="1"/>
  <c r="E75" i="1"/>
  <c r="E76" i="1"/>
  <c r="E77" i="1"/>
  <c r="E78" i="1"/>
  <c r="E79" i="1"/>
  <c r="E80" i="1"/>
  <c r="E81" i="1"/>
  <c r="F68" i="1"/>
  <c r="D68" i="1"/>
  <c r="F67" i="1"/>
  <c r="D67" i="1"/>
  <c r="F66" i="1"/>
  <c r="M61" i="1"/>
  <c r="I61" i="1"/>
  <c r="J61" i="1"/>
  <c r="K61" i="1"/>
  <c r="L61" i="1"/>
  <c r="H61" i="1"/>
  <c r="F26" i="1"/>
  <c r="H26" i="1" s="1"/>
  <c r="M14" i="1"/>
  <c r="F20" i="1" s="1"/>
  <c r="L14" i="1"/>
  <c r="K14" i="1"/>
  <c r="J14" i="1"/>
  <c r="H28" i="1" l="1"/>
  <c r="H25" i="1"/>
  <c r="G28" i="1"/>
  <c r="G27" i="1"/>
  <c r="G25" i="1"/>
  <c r="G26" i="1"/>
  <c r="G34" i="1"/>
  <c r="G33" i="1"/>
  <c r="H33" i="1" s="1"/>
  <c r="G32" i="1"/>
  <c r="F30" i="1"/>
  <c r="H30" i="1" s="1"/>
  <c r="F33" i="1"/>
  <c r="F32" i="1"/>
  <c r="H32" i="1" s="1"/>
  <c r="F31" i="1"/>
  <c r="G31" i="1"/>
  <c r="H31" i="1" s="1"/>
  <c r="F29" i="1"/>
  <c r="G29" i="1"/>
  <c r="H29" i="1" s="1"/>
  <c r="F27" i="1"/>
  <c r="H27" i="1" s="1"/>
  <c r="F34" i="1"/>
  <c r="H34" i="1" s="1"/>
  <c r="G30" i="1"/>
  <c r="F28" i="1"/>
  <c r="H35" i="1" l="1"/>
</calcChain>
</file>

<file path=xl/sharedStrings.xml><?xml version="1.0" encoding="utf-8"?>
<sst xmlns="http://schemas.openxmlformats.org/spreadsheetml/2006/main" count="231" uniqueCount="107">
  <si>
    <t>Iterasi 1</t>
  </si>
  <si>
    <t>Data</t>
  </si>
  <si>
    <t>Fitur x</t>
  </si>
  <si>
    <t>Fitur y</t>
  </si>
  <si>
    <t>K1</t>
  </si>
  <si>
    <t>K2</t>
  </si>
  <si>
    <t>K3</t>
  </si>
  <si>
    <t>K1 Fx</t>
  </si>
  <si>
    <t>K1 Fy</t>
  </si>
  <si>
    <t>K2 Fx</t>
  </si>
  <si>
    <t>K2 Fy</t>
  </si>
  <si>
    <t>K3 Fx</t>
  </si>
  <si>
    <t>K3 Fy</t>
  </si>
  <si>
    <t>*</t>
  </si>
  <si>
    <t>Total</t>
  </si>
  <si>
    <t>Hasil Centroid Setiap Cluster:</t>
  </si>
  <si>
    <t>Kelompok</t>
  </si>
  <si>
    <t>Centroid Fitur x (Rata-rata)</t>
  </si>
  <si>
    <t>Centroid Fitur y (Rata-rata)</t>
  </si>
  <si>
    <t>Koordinat Centroid</t>
  </si>
  <si>
    <t>(1, 1)</t>
  </si>
  <si>
    <t>(3.4, 3.8)</t>
  </si>
  <si>
    <t>(2.75, 3.75)</t>
  </si>
  <si>
    <t>Menghitung Jarak Data Ke Centroid (Euclidean Distance) - Iterasi 1</t>
  </si>
  <si>
    <t>Perhitungan Jarak (Iterasi 1):</t>
  </si>
  <si>
    <t>Fx</t>
  </si>
  <si>
    <t>Fy</t>
  </si>
  <si>
    <t>Jarak ke C1 (1, 1)</t>
  </si>
  <si>
    <t>Jarak ke C2 (3.4, 3.8)</t>
  </si>
  <si>
    <t>Jarak ke C3 (2.75, 3.75)</t>
  </si>
  <si>
    <t>Jarak Min</t>
  </si>
  <si>
    <t>K Baru</t>
  </si>
  <si>
    <t>K Lama</t>
  </si>
  <si>
    <t>Cek Threshold:</t>
  </si>
  <si>
    <t>Iterasi 2</t>
  </si>
  <si>
    <t>Menghitung Centroid Setiap Cluster (Iterasi 1)</t>
  </si>
  <si>
    <t>Menghitung Centroid Setiap Cluster (Iterasi 2)</t>
  </si>
  <si>
    <t>Anggota cluster berdasarkan hasil "K Baru" dari Iterasi 1:</t>
  </si>
  <si>
    <t>K1: Data 1, 4</t>
  </si>
  <si>
    <t>K2: Data 2, 3, 6, 8, 10</t>
  </si>
  <si>
    <t>K3: Data 5, 7, 9</t>
  </si>
  <si>
    <t>Centroid Fitur x</t>
  </si>
  <si>
    <t>Centroid Fitur y</t>
  </si>
  <si>
    <t>(1, 1.5)</t>
  </si>
  <si>
    <t>(4.2, 3.6)</t>
  </si>
  <si>
    <t>(2, 4.6667)</t>
  </si>
  <si>
    <t>Menghitung Jarak Data Ke Centroid - Iterasi 2</t>
  </si>
  <si>
    <t>Jarak ke C1</t>
  </si>
  <si>
    <t>Jarak ke C2</t>
  </si>
  <si>
    <t>Jarak ke C3</t>
  </si>
  <si>
    <t>Perubahan Cluster:</t>
  </si>
  <si>
    <t>Data 8 pindah dari K2 ke K3.</t>
  </si>
  <si>
    <t>Data 10 pindah dari K2 ke K3.</t>
  </si>
  <si>
    <r>
      <t xml:space="preserve">Pada akhir </t>
    </r>
    <r>
      <rPr>
        <b/>
        <sz val="11"/>
        <color theme="1"/>
        <rFont val="Calibri"/>
        <family val="2"/>
        <scheme val="minor"/>
      </rPr>
      <t>Iterasi 2</t>
    </r>
    <r>
      <rPr>
        <sz val="11"/>
        <color theme="1"/>
        <rFont val="Calibri"/>
        <family val="2"/>
        <scheme val="minor"/>
      </rPr>
      <t>, hasil sementara:</t>
    </r>
  </si>
  <si>
    <t>Kelompok 1 (K1): Data 1, 4</t>
  </si>
  <si>
    <t>Kelompok 2 (K2): Data 2, 3, 6</t>
  </si>
  <si>
    <t>Kelompok 3 (K3): Data 5, 7, 8, 9, 10</t>
  </si>
  <si>
    <t>F Lama (dari Iterasi 2): 15.6375</t>
  </si>
  <si>
    <t>iterasi 3</t>
  </si>
  <si>
    <t>Menghitung Centroid Setiap Cluster (Iterasi 3)</t>
  </si>
  <si>
    <t>Hasil Centroid Baru:</t>
  </si>
  <si>
    <t>(5, 1.6667)</t>
  </si>
  <si>
    <t>(2.4, 5.4)</t>
  </si>
  <si>
    <t>Menghitung Jarak Data Ke Centroid - Iterasi 3</t>
  </si>
  <si>
    <t>Min</t>
  </si>
  <si>
    <t>Data 5 pindah dari K3 ke K1 (Jarak ke C1 1.8 lebih kecil dari jarak ke C3 2.4).</t>
  </si>
  <si>
    <t>Iterasi 4</t>
  </si>
  <si>
    <t>Menghitung Centroid Setiap Cluster (Iterasi 4)</t>
  </si>
  <si>
    <t>Anggota baru:</t>
  </si>
  <si>
    <t>K1: 1, 4, 5</t>
  </si>
  <si>
    <t>K2: 2, 3, 6</t>
  </si>
  <si>
    <t>K3: 7, 8, 9, 10</t>
  </si>
  <si>
    <t>(1.3333, 2)</t>
  </si>
  <si>
    <t>(2.5, 6)</t>
  </si>
  <si>
    <t>Menghitung Jarak Data Ke Centroid - Iterasi 4</t>
  </si>
  <si>
    <t>Jarak ke K1</t>
  </si>
  <si>
    <t>Jarak ke K2</t>
  </si>
  <si>
    <t>Jarak ke K3</t>
  </si>
  <si>
    <r>
      <t>Perubahan Cluster:</t>
    </r>
    <r>
      <rPr>
        <sz val="11"/>
        <color theme="1"/>
        <rFont val="Arial"/>
        <family val="2"/>
      </rPr>
      <t xml:space="preserve"> Tidak ada data yang berpindah kelompok (K Baru = K Lama).</t>
    </r>
  </si>
  <si>
    <t>Karena Delta (0.0921) &lt; Threshold (0.1), maka iterasi BERHENTI.</t>
  </si>
  <si>
    <t>KESIMPULAN AKHIR</t>
  </si>
  <si>
    <t>Proses clustering selesai di Iterasi 4 dengan hasil akhir sebagai berikut:</t>
  </si>
  <si>
    <t>K baru</t>
  </si>
  <si>
    <t>Karena Delta &gt; T (0.1), maka Lanjut ke Iterasi 2</t>
  </si>
  <si>
    <r>
      <t xml:space="preserve">Menggunakan centroid baru: </t>
    </r>
    <r>
      <rPr>
        <sz val="11"/>
        <color theme="1"/>
        <rFont val="Arial"/>
        <family val="2"/>
      </rPr>
      <t>C1 (1, 1.5)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"/>
        <family val="2"/>
      </rPr>
      <t>C2 (4.2, 3.6)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"/>
        <family val="2"/>
      </rPr>
      <t>C 3 (2, 4.6667)</t>
    </r>
  </si>
  <si>
    <t>F baru = 15.6375</t>
  </si>
  <si>
    <t>Karena Delta &gt; T (0.1), maka Lanjut ke Iterasi berikutnya (proses clustering belum selesai).</t>
  </si>
  <si>
    <t>Centroid: C1 (1, 1.5), C2 (5, 1.6667), C3 (2.4, 5.4)</t>
  </si>
  <si>
    <t>F lama = 15.6375</t>
  </si>
  <si>
    <t>F baru = 11.2160</t>
  </si>
  <si>
    <t xml:space="preserve">Karena Delta &gt; 0.1, maka Lanjut ke Iterasi </t>
  </si>
  <si>
    <r>
      <t xml:space="preserve">Centroid: </t>
    </r>
    <r>
      <rPr>
        <sz val="11"/>
        <color theme="1"/>
        <rFont val="Arial"/>
        <family val="2"/>
      </rPr>
      <t>C1 (1.3333, 2)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"/>
        <family val="2"/>
      </rPr>
      <t>C2 (5, 1.6667)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Arial"/>
        <family val="2"/>
      </rPr>
      <t>C3 (2.5, 6)</t>
    </r>
  </si>
  <si>
    <t>F lama = 11.2160</t>
  </si>
  <si>
    <t>F baru = 11.1239</t>
  </si>
  <si>
    <t>F baru= 19.8474</t>
  </si>
  <si>
    <t>Delta = |F baru - F lama| = |19.8474 - 0| = 19.8474</t>
  </si>
  <si>
    <t>F lama = 19.8474 (dari Iterasi 1)</t>
  </si>
  <si>
    <t>Delta = |19.8474 − 15.6375| = 4.21</t>
  </si>
  <si>
    <t>Delta = |15.6375 - 11.2160 | = 4.4215</t>
  </si>
  <si>
    <t>Delta = |11.2160 - 11.1239 | = 0.0921</t>
  </si>
  <si>
    <r>
      <t>Cluster 1 (K1):</t>
    </r>
    <r>
      <rPr>
        <sz val="11"/>
        <color theme="1"/>
        <rFont val="Calibri"/>
        <family val="2"/>
        <scheme val="minor"/>
      </rPr>
      <t xml:space="preserve"> Data 1</t>
    </r>
  </si>
  <si>
    <r>
      <t>Cluster 2 (K2):</t>
    </r>
    <r>
      <rPr>
        <sz val="11"/>
        <color theme="1"/>
        <rFont val="Calibri"/>
        <family val="2"/>
        <scheme val="minor"/>
      </rPr>
      <t xml:space="preserve"> Data 3, 4, 6, 7, 10</t>
    </r>
  </si>
  <si>
    <r>
      <t>Cluster 3 (K3):</t>
    </r>
    <r>
      <rPr>
        <sz val="11"/>
        <color theme="1"/>
        <rFont val="Calibri"/>
        <family val="2"/>
        <scheme val="minor"/>
      </rPr>
      <t xml:space="preserve"> Data 2, 5, 8, 9</t>
    </r>
  </si>
  <si>
    <t>Parameter:</t>
  </si>
  <si>
    <t>K = 3</t>
  </si>
  <si>
    <t>F lama = 0</t>
  </si>
  <si>
    <t>Threshold (T) =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</si>
</sst>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0" xfId="0" applyFont="1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164" fontId="3" fillId="0" borderId="1" xfId="0" applyNumberFormat="1" applyFont="1" applyBorder="1" applyAlignment="1">
      <alignment vertical="center" wrapText="1" readingOrder="1"/>
    </xf>
    <xf numFmtId="165" fontId="2" fillId="0" borderId="1" xfId="0" applyNumberFormat="1" applyFont="1" applyBorder="1" applyAlignment="1">
      <alignment vertical="center" wrapText="1" readingOrder="1"/>
    </xf>
    <xf numFmtId="164" fontId="2" fillId="0" borderId="1" xfId="0" applyNumberFormat="1" applyFont="1" applyBorder="1" applyAlignment="1">
      <alignment vertical="center" wrapText="1" readingOrder="1"/>
    </xf>
    <xf numFmtId="165" fontId="3" fillId="2" borderId="1" xfId="0" applyNumberFormat="1" applyFont="1" applyFill="1" applyBorder="1" applyAlignment="1">
      <alignment vertical="center" wrapText="1" readingOrder="1"/>
    </xf>
    <xf numFmtId="0" fontId="9" fillId="3" borderId="1" xfId="0" applyFont="1" applyFill="1" applyBorder="1" applyAlignment="1">
      <alignment vertical="center" wrapText="1" readingOrder="1"/>
    </xf>
    <xf numFmtId="165" fontId="3" fillId="0" borderId="1" xfId="0" applyNumberFormat="1" applyFont="1" applyBorder="1" applyAlignment="1">
      <alignment vertical="center" wrapText="1" readingOrder="1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9" xfId="0" applyBorder="1"/>
    <xf numFmtId="0" fontId="3" fillId="2" borderId="2" xfId="0" applyFont="1" applyFill="1" applyBorder="1" applyAlignment="1">
      <alignment vertical="center" wrapText="1" readingOrder="1"/>
    </xf>
    <xf numFmtId="0" fontId="3" fillId="2" borderId="3" xfId="0" applyFont="1" applyFill="1" applyBorder="1" applyAlignment="1">
      <alignment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164" fontId="2" fillId="0" borderId="2" xfId="0" applyNumberFormat="1" applyFont="1" applyBorder="1" applyAlignment="1">
      <alignment horizontal="center" vertical="center" wrapText="1" readingOrder="1"/>
    </xf>
    <xf numFmtId="164" fontId="2" fillId="0" borderId="3" xfId="0" applyNumberFormat="1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164" fontId="2" fillId="0" borderId="6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left"/>
    </xf>
    <xf numFmtId="0" fontId="3" fillId="2" borderId="10" xfId="0" applyFont="1" applyFill="1" applyBorder="1" applyAlignment="1">
      <alignment vertical="center" wrapText="1" readingOrder="1"/>
    </xf>
    <xf numFmtId="0" fontId="3" fillId="2" borderId="11" xfId="0" applyFont="1" applyFill="1" applyBorder="1" applyAlignment="1">
      <alignment vertical="center" wrapText="1" readingOrder="1"/>
    </xf>
    <xf numFmtId="0" fontId="3" fillId="0" borderId="14" xfId="0" applyFont="1" applyBorder="1" applyAlignment="1">
      <alignment vertical="center" wrapText="1" readingOrder="1"/>
    </xf>
    <xf numFmtId="0" fontId="3" fillId="0" borderId="15" xfId="0" applyFont="1" applyBorder="1" applyAlignment="1">
      <alignment vertical="center" wrapText="1" readingOrder="1"/>
    </xf>
    <xf numFmtId="0" fontId="3" fillId="0" borderId="12" xfId="0" applyFont="1" applyBorder="1" applyAlignment="1">
      <alignment vertical="center" wrapText="1" readingOrder="1"/>
    </xf>
    <xf numFmtId="0" fontId="3" fillId="0" borderId="13" xfId="0" applyFont="1" applyBorder="1" applyAlignment="1">
      <alignment vertical="center" wrapText="1" readingOrder="1"/>
    </xf>
    <xf numFmtId="165" fontId="3" fillId="2" borderId="2" xfId="0" applyNumberFormat="1" applyFont="1" applyFill="1" applyBorder="1" applyAlignment="1">
      <alignment horizontal="center" vertical="center" wrapText="1" readingOrder="1"/>
    </xf>
    <xf numFmtId="165" fontId="3" fillId="2" borderId="3" xfId="0" applyNumberFormat="1" applyFont="1" applyFill="1" applyBorder="1" applyAlignment="1">
      <alignment horizontal="center" vertical="center" wrapText="1" readingOrder="1"/>
    </xf>
    <xf numFmtId="0" fontId="3" fillId="2" borderId="7" xfId="0" applyFont="1" applyFill="1" applyBorder="1" applyAlignment="1">
      <alignment horizontal="center" vertical="center" wrapText="1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0" fillId="0" borderId="9" xfId="0" applyBorder="1" applyAlignment="1">
      <alignment horizontal="left"/>
    </xf>
    <xf numFmtId="0" fontId="7" fillId="0" borderId="0" xfId="0" applyFont="1" applyAlignment="1">
      <alignment horizontal="left"/>
    </xf>
    <xf numFmtId="164" fontId="3" fillId="0" borderId="2" xfId="0" applyNumberFormat="1" applyFont="1" applyBorder="1" applyAlignment="1">
      <alignment horizontal="center" vertical="center" wrapText="1" readingOrder="1"/>
    </xf>
    <xf numFmtId="164" fontId="3" fillId="0" borderId="3" xfId="0" applyNumberFormat="1" applyFont="1" applyBorder="1" applyAlignment="1">
      <alignment horizontal="center" vertical="center" wrapText="1" readingOrder="1"/>
    </xf>
    <xf numFmtId="0" fontId="1" fillId="0" borderId="0" xfId="0" applyFont="1" applyAlignment="1">
      <alignment horizontal="left"/>
    </xf>
    <xf numFmtId="0" fontId="3" fillId="2" borderId="6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209177</xdr:colOff>
      <xdr:row>25</xdr:row>
      <xdr:rowOff>167075</xdr:rowOff>
    </xdr:from>
    <xdr:to>
      <xdr:col>20</xdr:col>
      <xdr:colOff>351118</xdr:colOff>
      <xdr:row>29</xdr:row>
      <xdr:rowOff>67236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E537A0-7F0B-478E-98A6-9D0FB5093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6295" y="6532016"/>
          <a:ext cx="5042647" cy="677102"/>
        </a:xfrm>
        <a:prstGeom prst="rect">
          <a:avLst/>
        </a:prstGeom>
      </xdr:spPr>
    </xdr:pic>
    <xdr:clientData/>
  </xdr:twoCellAnchor>
  <xdr:twoCellAnchor editAs="oneCell">
    <xdr:from>
      <xdr:col>12</xdr:col>
      <xdr:colOff>74705</xdr:colOff>
      <xdr:row>74</xdr:row>
      <xdr:rowOff>74705</xdr:rowOff>
    </xdr:from>
    <xdr:to>
      <xdr:col>20</xdr:col>
      <xdr:colOff>216646</xdr:colOff>
      <xdr:row>77</xdr:row>
      <xdr:rowOff>169102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FDAAE5-7DC8-415F-A50B-3CC45C01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1823" y="17010529"/>
          <a:ext cx="5042647" cy="677102"/>
        </a:xfrm>
        <a:prstGeom prst="rect">
          <a:avLst/>
        </a:prstGeom>
      </xdr:spPr>
    </xdr:pic>
    <xdr:clientData/>
  </xdr:twoCellAnchor>
  <xdr:twoCellAnchor editAs="oneCell">
    <xdr:from>
      <xdr:col>11</xdr:col>
      <xdr:colOff>575236</xdr:colOff>
      <xdr:row>127</xdr:row>
      <xdr:rowOff>82177</xdr:rowOff>
    </xdr:from>
    <xdr:to>
      <xdr:col>20</xdr:col>
      <xdr:colOff>104588</xdr:colOff>
      <xdr:row>130</xdr:row>
      <xdr:rowOff>176573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82B444-FF3B-413B-B244-94ED6EDBD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9765" y="28328471"/>
          <a:ext cx="5042647" cy="677102"/>
        </a:xfrm>
        <a:prstGeom prst="rect">
          <a:avLst/>
        </a:prstGeom>
      </xdr:spPr>
    </xdr:pic>
    <xdr:clientData/>
  </xdr:twoCellAnchor>
  <xdr:twoCellAnchor editAs="oneCell">
    <xdr:from>
      <xdr:col>12</xdr:col>
      <xdr:colOff>216646</xdr:colOff>
      <xdr:row>176</xdr:row>
      <xdr:rowOff>82176</xdr:rowOff>
    </xdr:from>
    <xdr:to>
      <xdr:col>20</xdr:col>
      <xdr:colOff>358587</xdr:colOff>
      <xdr:row>179</xdr:row>
      <xdr:rowOff>176572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902EC98-690C-41C9-8CA5-BD74DCA40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3764" y="39071176"/>
          <a:ext cx="5042647" cy="677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F2A6-8708-4B9D-80CE-771FA979E4DC}">
  <dimension ref="B1:P208"/>
  <sheetViews>
    <sheetView tabSelected="1" topLeftCell="A76" zoomScale="85" zoomScaleNormal="85" workbookViewId="0">
      <selection activeCell="M71" sqref="M71"/>
    </sheetView>
  </sheetViews>
  <sheetFormatPr defaultRowHeight="14.5" x14ac:dyDescent="0.35"/>
  <cols>
    <col min="5" max="5" width="13.26953125" bestFit="1" customWidth="1"/>
    <col min="6" max="6" width="9.54296875" bestFit="1" customWidth="1"/>
  </cols>
  <sheetData>
    <row r="1" spans="2:16" x14ac:dyDescent="0.35">
      <c r="B1" t="s">
        <v>0</v>
      </c>
    </row>
    <row r="2" spans="2:16" ht="15" thickBot="1" x14ac:dyDescent="0.4">
      <c r="B2" t="s">
        <v>35</v>
      </c>
    </row>
    <row r="3" spans="2:16" ht="15" thickBot="1" x14ac:dyDescent="0.4"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P3" s="20" t="s">
        <v>100</v>
      </c>
    </row>
    <row r="4" spans="2:16" ht="15" thickBot="1" x14ac:dyDescent="0.4">
      <c r="B4" s="2">
        <v>1</v>
      </c>
      <c r="C4" s="2">
        <v>1</v>
      </c>
      <c r="D4" s="2">
        <v>1</v>
      </c>
      <c r="E4" s="2" t="s">
        <v>13</v>
      </c>
      <c r="F4" s="2"/>
      <c r="G4" s="2"/>
      <c r="H4" s="2">
        <v>1</v>
      </c>
      <c r="I4" s="2">
        <v>1</v>
      </c>
      <c r="J4" s="2"/>
      <c r="K4" s="2"/>
      <c r="L4" s="2"/>
      <c r="M4" s="2"/>
    </row>
    <row r="5" spans="2:16" ht="15" thickBot="1" x14ac:dyDescent="0.4">
      <c r="B5" s="2">
        <v>2</v>
      </c>
      <c r="C5" s="2">
        <v>4</v>
      </c>
      <c r="D5" s="2">
        <v>1</v>
      </c>
      <c r="E5" s="2"/>
      <c r="F5" s="2"/>
      <c r="G5" s="2" t="s">
        <v>13</v>
      </c>
      <c r="H5" s="2"/>
      <c r="I5" s="2"/>
      <c r="J5" s="2"/>
      <c r="K5" s="2"/>
      <c r="L5" s="2">
        <v>4</v>
      </c>
      <c r="M5" s="2">
        <v>1</v>
      </c>
      <c r="P5" s="20" t="s">
        <v>101</v>
      </c>
    </row>
    <row r="6" spans="2:16" ht="15" thickBot="1" x14ac:dyDescent="0.4">
      <c r="B6" s="2">
        <v>3</v>
      </c>
      <c r="C6" s="2">
        <v>6</v>
      </c>
      <c r="D6" s="2">
        <v>1</v>
      </c>
      <c r="E6" s="2"/>
      <c r="F6" s="2" t="s">
        <v>13</v>
      </c>
      <c r="G6" s="2"/>
      <c r="H6" s="2"/>
      <c r="I6" s="2"/>
      <c r="J6" s="2">
        <v>6</v>
      </c>
      <c r="K6" s="2">
        <v>1</v>
      </c>
      <c r="L6" s="2"/>
      <c r="M6" s="2"/>
    </row>
    <row r="7" spans="2:16" ht="15" thickBot="1" x14ac:dyDescent="0.4">
      <c r="B7" s="2">
        <v>4</v>
      </c>
      <c r="C7" s="2">
        <v>1</v>
      </c>
      <c r="D7" s="2">
        <v>2</v>
      </c>
      <c r="E7" s="2"/>
      <c r="F7" s="2" t="s">
        <v>13</v>
      </c>
      <c r="G7" s="2"/>
      <c r="H7" s="2"/>
      <c r="I7" s="2"/>
      <c r="J7" s="2">
        <v>1</v>
      </c>
      <c r="K7" s="2">
        <v>2</v>
      </c>
      <c r="L7" s="2"/>
      <c r="M7" s="2"/>
      <c r="P7" s="20" t="s">
        <v>102</v>
      </c>
    </row>
    <row r="8" spans="2:16" ht="15" thickBot="1" x14ac:dyDescent="0.4">
      <c r="B8" s="2">
        <v>5</v>
      </c>
      <c r="C8" s="2">
        <v>2</v>
      </c>
      <c r="D8" s="2">
        <v>3</v>
      </c>
      <c r="E8" s="2"/>
      <c r="F8" s="2"/>
      <c r="G8" s="2" t="s">
        <v>13</v>
      </c>
      <c r="H8" s="2"/>
      <c r="I8" s="2"/>
      <c r="J8" s="2"/>
      <c r="K8" s="2"/>
      <c r="L8" s="2">
        <v>2</v>
      </c>
      <c r="M8" s="2">
        <v>3</v>
      </c>
    </row>
    <row r="9" spans="2:16" ht="15" thickBot="1" x14ac:dyDescent="0.4">
      <c r="B9" s="2">
        <v>6</v>
      </c>
      <c r="C9" s="2">
        <v>5</v>
      </c>
      <c r="D9" s="2">
        <v>3</v>
      </c>
      <c r="E9" s="2"/>
      <c r="F9" s="2" t="s">
        <v>13</v>
      </c>
      <c r="G9" s="2"/>
      <c r="H9" s="2"/>
      <c r="I9" s="2"/>
      <c r="J9" s="2">
        <v>5</v>
      </c>
      <c r="K9" s="2">
        <v>3</v>
      </c>
      <c r="L9" s="2"/>
      <c r="M9" s="2"/>
    </row>
    <row r="10" spans="2:16" ht="15" thickBot="1" x14ac:dyDescent="0.4">
      <c r="B10" s="2">
        <v>7</v>
      </c>
      <c r="C10" s="2">
        <v>2</v>
      </c>
      <c r="D10" s="2">
        <v>5</v>
      </c>
      <c r="E10" s="2"/>
      <c r="F10" s="2" t="s">
        <v>13</v>
      </c>
      <c r="G10" s="2"/>
      <c r="H10" s="2"/>
      <c r="I10" s="2"/>
      <c r="J10" s="2">
        <v>2</v>
      </c>
      <c r="K10" s="2">
        <v>5</v>
      </c>
      <c r="L10" s="2"/>
      <c r="M10" s="2"/>
    </row>
    <row r="11" spans="2:16" ht="15" thickBot="1" x14ac:dyDescent="0.4">
      <c r="B11" s="2">
        <v>8</v>
      </c>
      <c r="C11" s="2">
        <v>3</v>
      </c>
      <c r="D11" s="2">
        <v>5</v>
      </c>
      <c r="E11" s="2"/>
      <c r="F11" s="2"/>
      <c r="G11" s="2" t="s">
        <v>13</v>
      </c>
      <c r="H11" s="2"/>
      <c r="I11" s="2"/>
      <c r="J11" s="2"/>
      <c r="K11" s="2"/>
      <c r="L11" s="2">
        <v>3</v>
      </c>
      <c r="M11" s="2">
        <v>5</v>
      </c>
      <c r="P11" s="3" t="s">
        <v>103</v>
      </c>
    </row>
    <row r="12" spans="2:16" ht="15" thickBot="1" x14ac:dyDescent="0.4">
      <c r="B12" s="2">
        <v>9</v>
      </c>
      <c r="C12" s="2">
        <v>2</v>
      </c>
      <c r="D12" s="2">
        <v>6</v>
      </c>
      <c r="E12" s="2"/>
      <c r="F12" s="2"/>
      <c r="G12" s="2" t="s">
        <v>13</v>
      </c>
      <c r="H12" s="2"/>
      <c r="I12" s="2"/>
      <c r="J12" s="2"/>
      <c r="K12" s="2"/>
      <c r="L12" s="2">
        <v>2</v>
      </c>
      <c r="M12" s="2">
        <v>6</v>
      </c>
      <c r="P12" s="10"/>
    </row>
    <row r="13" spans="2:16" ht="15" thickBot="1" x14ac:dyDescent="0.4">
      <c r="B13" s="2">
        <v>10</v>
      </c>
      <c r="C13" s="2">
        <v>3</v>
      </c>
      <c r="D13" s="2">
        <v>8</v>
      </c>
      <c r="E13" s="2"/>
      <c r="F13" s="2" t="s">
        <v>13</v>
      </c>
      <c r="G13" s="2"/>
      <c r="H13" s="2"/>
      <c r="I13" s="2"/>
      <c r="J13" s="2">
        <v>3</v>
      </c>
      <c r="K13" s="2">
        <v>8</v>
      </c>
      <c r="L13" s="2"/>
      <c r="M13" s="2"/>
      <c r="P13" s="11" t="s">
        <v>104</v>
      </c>
    </row>
    <row r="14" spans="2:16" ht="15" thickBot="1" x14ac:dyDescent="0.4">
      <c r="B14" s="13" t="s">
        <v>14</v>
      </c>
      <c r="C14" s="2"/>
      <c r="D14" s="2"/>
      <c r="E14" s="13">
        <v>1</v>
      </c>
      <c r="F14" s="13">
        <v>5</v>
      </c>
      <c r="G14" s="13">
        <v>4</v>
      </c>
      <c r="H14" s="13">
        <v>1</v>
      </c>
      <c r="I14" s="13">
        <v>1</v>
      </c>
      <c r="J14" s="13">
        <f>SUM(J4:J13)</f>
        <v>17</v>
      </c>
      <c r="K14" s="13">
        <f>SUM(K4:K13)</f>
        <v>19</v>
      </c>
      <c r="L14" s="13">
        <f>SUM(L4:L13)</f>
        <v>11</v>
      </c>
      <c r="M14" s="13">
        <f>SUM(M4:M13)</f>
        <v>15</v>
      </c>
      <c r="P14" s="10"/>
    </row>
    <row r="15" spans="2:16" x14ac:dyDescent="0.35">
      <c r="P15" s="11" t="s">
        <v>105</v>
      </c>
    </row>
    <row r="16" spans="2:16" ht="15" thickBot="1" x14ac:dyDescent="0.4">
      <c r="B16" t="s">
        <v>15</v>
      </c>
      <c r="P16" s="10"/>
    </row>
    <row r="17" spans="2:16" ht="56.5" customHeight="1" thickBot="1" x14ac:dyDescent="0.4">
      <c r="B17" s="64" t="s">
        <v>16</v>
      </c>
      <c r="C17" s="65"/>
      <c r="D17" s="35" t="s">
        <v>17</v>
      </c>
      <c r="E17" s="36"/>
      <c r="F17" s="35" t="s">
        <v>18</v>
      </c>
      <c r="G17" s="62"/>
      <c r="H17" s="51" t="s">
        <v>19</v>
      </c>
      <c r="I17" s="52"/>
      <c r="P17" s="11" t="s">
        <v>106</v>
      </c>
    </row>
    <row r="18" spans="2:16" ht="28.5" customHeight="1" thickBot="1" x14ac:dyDescent="0.4">
      <c r="B18" s="37">
        <v>1</v>
      </c>
      <c r="C18" s="38"/>
      <c r="D18" s="29">
        <f>E14/H14</f>
        <v>1</v>
      </c>
      <c r="E18" s="30"/>
      <c r="F18" s="29">
        <f>I14/E14</f>
        <v>1</v>
      </c>
      <c r="G18" s="30"/>
      <c r="H18" s="55" t="s">
        <v>20</v>
      </c>
      <c r="I18" s="56"/>
    </row>
    <row r="19" spans="2:16" ht="28.5" customHeight="1" thickBot="1" x14ac:dyDescent="0.4">
      <c r="B19" s="37">
        <v>2</v>
      </c>
      <c r="C19" s="38"/>
      <c r="D19" s="29">
        <f>J14/F14</f>
        <v>3.4</v>
      </c>
      <c r="E19" s="30"/>
      <c r="F19" s="29">
        <f>K14/F14</f>
        <v>3.8</v>
      </c>
      <c r="G19" s="30"/>
      <c r="H19" s="37" t="s">
        <v>21</v>
      </c>
      <c r="I19" s="38"/>
    </row>
    <row r="20" spans="2:16" ht="28.5" customHeight="1" thickBot="1" x14ac:dyDescent="0.4">
      <c r="B20" s="37">
        <v>3</v>
      </c>
      <c r="C20" s="38"/>
      <c r="D20" s="29">
        <f>L14/G14</f>
        <v>2.75</v>
      </c>
      <c r="E20" s="30"/>
      <c r="F20" s="29">
        <f>M14/G14</f>
        <v>3.75</v>
      </c>
      <c r="G20" s="30"/>
      <c r="H20" s="37" t="s">
        <v>22</v>
      </c>
      <c r="I20" s="38"/>
    </row>
    <row r="22" spans="2:16" x14ac:dyDescent="0.35">
      <c r="B22" t="s">
        <v>23</v>
      </c>
    </row>
    <row r="23" spans="2:16" ht="15" thickBot="1" x14ac:dyDescent="0.4">
      <c r="B23" s="3" t="s">
        <v>24</v>
      </c>
    </row>
    <row r="24" spans="2:16" ht="56.5" thickBot="1" x14ac:dyDescent="0.4">
      <c r="B24" s="12" t="s">
        <v>1</v>
      </c>
      <c r="C24" s="12" t="s">
        <v>25</v>
      </c>
      <c r="D24" s="12" t="s">
        <v>26</v>
      </c>
      <c r="E24" s="12" t="s">
        <v>27</v>
      </c>
      <c r="F24" s="12" t="s">
        <v>28</v>
      </c>
      <c r="G24" s="12" t="s">
        <v>29</v>
      </c>
      <c r="H24" s="35" t="s">
        <v>30</v>
      </c>
      <c r="I24" s="36"/>
      <c r="J24" s="12" t="s">
        <v>31</v>
      </c>
      <c r="K24" s="12" t="s">
        <v>32</v>
      </c>
    </row>
    <row r="25" spans="2:16" ht="15" thickBot="1" x14ac:dyDescent="0.4">
      <c r="B25" s="2">
        <v>1</v>
      </c>
      <c r="C25" s="2">
        <v>1</v>
      </c>
      <c r="D25" s="2">
        <v>1</v>
      </c>
      <c r="E25" s="14">
        <f>SQRT((C25-$D$18)^2 + (D25-$F$18)^2)</f>
        <v>0</v>
      </c>
      <c r="F25" s="15">
        <f>SQRT((C25-$D$19)^2 + (D25-$F$19)^2)</f>
        <v>3.6878177829171546</v>
      </c>
      <c r="G25" s="15">
        <f t="shared" ref="G25:G34" si="0">SQRT((C25-$D$20)^2 + (D25-$F$20)^2)</f>
        <v>3.2596012026013246</v>
      </c>
      <c r="H25" s="31">
        <f>E25</f>
        <v>0</v>
      </c>
      <c r="I25" s="30"/>
      <c r="J25" s="1">
        <v>1</v>
      </c>
      <c r="K25" s="2">
        <v>1</v>
      </c>
    </row>
    <row r="26" spans="2:16" ht="15" thickBot="1" x14ac:dyDescent="0.4">
      <c r="B26" s="2">
        <v>2</v>
      </c>
      <c r="C26" s="2">
        <v>4</v>
      </c>
      <c r="D26" s="2">
        <v>1</v>
      </c>
      <c r="E26" s="14">
        <f t="shared" ref="E26:E34" si="1">SQRT((C26-$D$18)^2 + (D26-$F$18)^2)</f>
        <v>3</v>
      </c>
      <c r="F26" s="15">
        <f t="shared" ref="F26:F34" si="2">SQRT((C26-$D$19)^2 + (D26-$F$19)^2)</f>
        <v>2.8635642126552705</v>
      </c>
      <c r="G26" s="15">
        <f t="shared" si="0"/>
        <v>3.0207614933986431</v>
      </c>
      <c r="H26" s="31">
        <f>F26</f>
        <v>2.8635642126552705</v>
      </c>
      <c r="I26" s="30"/>
      <c r="J26" s="1">
        <v>2</v>
      </c>
      <c r="K26" s="2">
        <v>3</v>
      </c>
    </row>
    <row r="27" spans="2:16" ht="15" thickBot="1" x14ac:dyDescent="0.4">
      <c r="B27" s="2">
        <v>3</v>
      </c>
      <c r="C27" s="2">
        <v>6</v>
      </c>
      <c r="D27" s="2">
        <v>1</v>
      </c>
      <c r="E27" s="14">
        <f t="shared" si="1"/>
        <v>5</v>
      </c>
      <c r="F27" s="15">
        <f t="shared" si="2"/>
        <v>3.8209946349085602</v>
      </c>
      <c r="G27" s="15">
        <f t="shared" si="0"/>
        <v>4.2573465914816007</v>
      </c>
      <c r="H27" s="31">
        <f>F27</f>
        <v>3.8209946349085602</v>
      </c>
      <c r="I27" s="30"/>
      <c r="J27" s="1">
        <v>2</v>
      </c>
      <c r="K27" s="2">
        <v>2</v>
      </c>
    </row>
    <row r="28" spans="2:16" ht="15" thickBot="1" x14ac:dyDescent="0.4">
      <c r="B28" s="2">
        <v>4</v>
      </c>
      <c r="C28" s="2">
        <v>1</v>
      </c>
      <c r="D28" s="2">
        <v>2</v>
      </c>
      <c r="E28" s="14">
        <f t="shared" si="1"/>
        <v>1</v>
      </c>
      <c r="F28" s="15">
        <f t="shared" si="2"/>
        <v>3</v>
      </c>
      <c r="G28" s="15">
        <f t="shared" si="0"/>
        <v>2.4748737341529163</v>
      </c>
      <c r="H28" s="31">
        <f>E28</f>
        <v>1</v>
      </c>
      <c r="I28" s="30"/>
      <c r="J28" s="1">
        <v>1</v>
      </c>
      <c r="K28" s="2">
        <v>2</v>
      </c>
    </row>
    <row r="29" spans="2:16" ht="15" thickBot="1" x14ac:dyDescent="0.4">
      <c r="B29" s="2">
        <v>5</v>
      </c>
      <c r="C29" s="2">
        <v>2</v>
      </c>
      <c r="D29" s="2">
        <v>3</v>
      </c>
      <c r="E29" s="14">
        <f t="shared" si="1"/>
        <v>2.2360679774997898</v>
      </c>
      <c r="F29" s="15">
        <f t="shared" si="2"/>
        <v>1.6124515496597098</v>
      </c>
      <c r="G29" s="15">
        <f t="shared" si="0"/>
        <v>1.0606601717798212</v>
      </c>
      <c r="H29" s="31">
        <f>G29</f>
        <v>1.0606601717798212</v>
      </c>
      <c r="I29" s="30"/>
      <c r="J29" s="1">
        <v>3</v>
      </c>
      <c r="K29" s="2">
        <v>3</v>
      </c>
    </row>
    <row r="30" spans="2:16" ht="15" thickBot="1" x14ac:dyDescent="0.4">
      <c r="B30" s="2">
        <v>6</v>
      </c>
      <c r="C30" s="2">
        <v>5</v>
      </c>
      <c r="D30" s="2">
        <v>3</v>
      </c>
      <c r="E30" s="14">
        <f t="shared" si="1"/>
        <v>4.4721359549995796</v>
      </c>
      <c r="F30" s="15">
        <f t="shared" si="2"/>
        <v>1.7888543819998317</v>
      </c>
      <c r="G30" s="15">
        <f t="shared" si="0"/>
        <v>2.3717082451262845</v>
      </c>
      <c r="H30" s="31">
        <f>F30</f>
        <v>1.7888543819998317</v>
      </c>
      <c r="I30" s="30"/>
      <c r="J30" s="1">
        <v>2</v>
      </c>
      <c r="K30" s="2">
        <v>2</v>
      </c>
    </row>
    <row r="31" spans="2:16" ht="15" thickBot="1" x14ac:dyDescent="0.4">
      <c r="B31" s="2">
        <v>7</v>
      </c>
      <c r="C31" s="2">
        <v>2</v>
      </c>
      <c r="D31" s="2">
        <v>5</v>
      </c>
      <c r="E31" s="14">
        <f t="shared" si="1"/>
        <v>4.1231056256176606</v>
      </c>
      <c r="F31" s="15">
        <f t="shared" si="2"/>
        <v>1.8439088914585775</v>
      </c>
      <c r="G31" s="15">
        <f t="shared" si="0"/>
        <v>1.4577379737113252</v>
      </c>
      <c r="H31" s="31">
        <f>G31</f>
        <v>1.4577379737113252</v>
      </c>
      <c r="I31" s="30"/>
      <c r="J31" s="1">
        <v>3</v>
      </c>
      <c r="K31" s="2">
        <v>2</v>
      </c>
    </row>
    <row r="32" spans="2:16" ht="15" thickBot="1" x14ac:dyDescent="0.4">
      <c r="B32" s="2">
        <v>8</v>
      </c>
      <c r="C32" s="2">
        <v>3</v>
      </c>
      <c r="D32" s="2">
        <v>5</v>
      </c>
      <c r="E32" s="14">
        <f t="shared" si="1"/>
        <v>4.4721359549995796</v>
      </c>
      <c r="F32" s="15">
        <f t="shared" si="2"/>
        <v>1.2649110640673518</v>
      </c>
      <c r="G32" s="15">
        <f t="shared" si="0"/>
        <v>1.2747548783981961</v>
      </c>
      <c r="H32" s="31">
        <f>F32</f>
        <v>1.2649110640673518</v>
      </c>
      <c r="I32" s="30"/>
      <c r="J32" s="1">
        <v>2</v>
      </c>
      <c r="K32" s="2">
        <v>3</v>
      </c>
    </row>
    <row r="33" spans="2:11" ht="15" thickBot="1" x14ac:dyDescent="0.4">
      <c r="B33" s="2">
        <v>9</v>
      </c>
      <c r="C33" s="2">
        <v>2</v>
      </c>
      <c r="D33" s="2">
        <v>6</v>
      </c>
      <c r="E33" s="14">
        <f t="shared" si="1"/>
        <v>5.0990195135927845</v>
      </c>
      <c r="F33" s="15">
        <f t="shared" si="2"/>
        <v>2.6076809620810595</v>
      </c>
      <c r="G33" s="15">
        <f t="shared" si="0"/>
        <v>2.3717082451262845</v>
      </c>
      <c r="H33" s="31">
        <f>G33</f>
        <v>2.3717082451262845</v>
      </c>
      <c r="I33" s="30"/>
      <c r="J33" s="1">
        <v>3</v>
      </c>
      <c r="K33" s="2">
        <v>3</v>
      </c>
    </row>
    <row r="34" spans="2:11" ht="15" thickBot="1" x14ac:dyDescent="0.4">
      <c r="B34" s="2">
        <v>10</v>
      </c>
      <c r="C34" s="2">
        <v>3</v>
      </c>
      <c r="D34" s="2">
        <v>8</v>
      </c>
      <c r="E34" s="14">
        <f t="shared" si="1"/>
        <v>7.2801098892805181</v>
      </c>
      <c r="F34" s="15">
        <f t="shared" si="2"/>
        <v>4.2190046219457971</v>
      </c>
      <c r="G34" s="15">
        <f t="shared" si="0"/>
        <v>4.2573465914816007</v>
      </c>
      <c r="H34" s="31">
        <f>F34</f>
        <v>4.2190046219457971</v>
      </c>
      <c r="I34" s="30"/>
      <c r="J34" s="1">
        <v>2</v>
      </c>
      <c r="K34" s="2">
        <v>2</v>
      </c>
    </row>
    <row r="35" spans="2:11" ht="15" thickBot="1" x14ac:dyDescent="0.4">
      <c r="B35" s="12" t="s">
        <v>14</v>
      </c>
      <c r="C35" s="2"/>
      <c r="D35" s="2"/>
      <c r="E35" s="2"/>
      <c r="F35" s="2"/>
      <c r="G35" s="2"/>
      <c r="H35" s="49">
        <f>SUM(H25:I34)</f>
        <v>19.847435306194242</v>
      </c>
      <c r="I35" s="50"/>
      <c r="J35" s="2"/>
      <c r="K35" s="2"/>
    </row>
    <row r="37" spans="2:11" x14ac:dyDescent="0.35">
      <c r="B37" s="63" t="s">
        <v>33</v>
      </c>
      <c r="C37" s="63"/>
    </row>
    <row r="38" spans="2:11" x14ac:dyDescent="0.35">
      <c r="B38" s="8" t="s">
        <v>94</v>
      </c>
      <c r="C38" s="8"/>
    </row>
    <row r="39" spans="2:11" x14ac:dyDescent="0.35">
      <c r="B39" s="8" t="s">
        <v>95</v>
      </c>
      <c r="C39" s="8"/>
      <c r="D39" s="8"/>
      <c r="E39" s="8"/>
      <c r="F39" s="8"/>
      <c r="G39" s="8"/>
    </row>
    <row r="40" spans="2:11" x14ac:dyDescent="0.35">
      <c r="B40" s="8" t="s">
        <v>83</v>
      </c>
      <c r="C40" s="8"/>
      <c r="D40" s="8"/>
      <c r="E40" s="8"/>
      <c r="F40" s="8"/>
    </row>
    <row r="43" spans="2:11" x14ac:dyDescent="0.35">
      <c r="B43" t="s">
        <v>34</v>
      </c>
    </row>
    <row r="44" spans="2:11" x14ac:dyDescent="0.35">
      <c r="B44" t="s">
        <v>37</v>
      </c>
    </row>
    <row r="45" spans="2:11" x14ac:dyDescent="0.35">
      <c r="B45" s="54" t="s">
        <v>38</v>
      </c>
      <c r="C45" s="54"/>
    </row>
    <row r="46" spans="2:11" x14ac:dyDescent="0.35">
      <c r="B46" s="61" t="s">
        <v>39</v>
      </c>
      <c r="C46" s="61"/>
      <c r="D46" s="61"/>
    </row>
    <row r="47" spans="2:11" x14ac:dyDescent="0.35">
      <c r="B47" s="54" t="s">
        <v>40</v>
      </c>
      <c r="C47" s="54"/>
    </row>
    <row r="48" spans="2:11" x14ac:dyDescent="0.35">
      <c r="B48" s="4"/>
    </row>
    <row r="49" spans="2:13" ht="15" thickBot="1" x14ac:dyDescent="0.4">
      <c r="B49" t="s">
        <v>36</v>
      </c>
    </row>
    <row r="50" spans="2:13" ht="15" thickBot="1" x14ac:dyDescent="0.4">
      <c r="B50" s="13" t="s">
        <v>1</v>
      </c>
      <c r="C50" s="13" t="s">
        <v>25</v>
      </c>
      <c r="D50" s="13" t="s">
        <v>26</v>
      </c>
      <c r="E50" s="13" t="s">
        <v>4</v>
      </c>
      <c r="F50" s="13" t="s">
        <v>5</v>
      </c>
      <c r="G50" s="13" t="s">
        <v>6</v>
      </c>
      <c r="H50" s="13" t="s">
        <v>7</v>
      </c>
      <c r="I50" s="13" t="s">
        <v>8</v>
      </c>
      <c r="J50" s="13" t="s">
        <v>9</v>
      </c>
      <c r="K50" s="13" t="s">
        <v>10</v>
      </c>
      <c r="L50" s="13" t="s">
        <v>11</v>
      </c>
      <c r="M50" s="13" t="s">
        <v>12</v>
      </c>
    </row>
    <row r="51" spans="2:13" ht="15" thickBot="1" x14ac:dyDescent="0.4">
      <c r="B51" s="2">
        <v>1</v>
      </c>
      <c r="C51" s="2">
        <v>1</v>
      </c>
      <c r="D51" s="2">
        <v>1</v>
      </c>
      <c r="E51" s="2" t="s">
        <v>13</v>
      </c>
      <c r="F51" s="2"/>
      <c r="G51" s="2"/>
      <c r="H51" s="2">
        <v>1</v>
      </c>
      <c r="I51" s="2">
        <v>1</v>
      </c>
      <c r="J51" s="2"/>
      <c r="K51" s="2"/>
      <c r="L51" s="2"/>
      <c r="M51" s="2"/>
    </row>
    <row r="52" spans="2:13" ht="15" thickBot="1" x14ac:dyDescent="0.4">
      <c r="B52" s="2">
        <v>2</v>
      </c>
      <c r="C52" s="2">
        <v>4</v>
      </c>
      <c r="D52" s="2">
        <v>1</v>
      </c>
      <c r="E52" s="2"/>
      <c r="F52" s="2" t="s">
        <v>13</v>
      </c>
      <c r="G52" s="2"/>
      <c r="H52" s="2"/>
      <c r="I52" s="2"/>
      <c r="J52" s="2">
        <v>4</v>
      </c>
      <c r="K52" s="2">
        <v>1</v>
      </c>
      <c r="L52" s="2"/>
      <c r="M52" s="2"/>
    </row>
    <row r="53" spans="2:13" ht="15" thickBot="1" x14ac:dyDescent="0.4">
      <c r="B53" s="2">
        <v>3</v>
      </c>
      <c r="C53" s="2">
        <v>6</v>
      </c>
      <c r="D53" s="2">
        <v>1</v>
      </c>
      <c r="E53" s="2"/>
      <c r="F53" s="2" t="s">
        <v>13</v>
      </c>
      <c r="G53" s="2"/>
      <c r="H53" s="2"/>
      <c r="I53" s="2"/>
      <c r="J53" s="2">
        <v>6</v>
      </c>
      <c r="K53" s="2">
        <v>1</v>
      </c>
      <c r="L53" s="2"/>
      <c r="M53" s="2"/>
    </row>
    <row r="54" spans="2:13" ht="15" thickBot="1" x14ac:dyDescent="0.4">
      <c r="B54" s="2">
        <v>4</v>
      </c>
      <c r="C54" s="2">
        <v>1</v>
      </c>
      <c r="D54" s="2">
        <v>2</v>
      </c>
      <c r="E54" s="2" t="s">
        <v>13</v>
      </c>
      <c r="F54" s="2"/>
      <c r="G54" s="2"/>
      <c r="H54" s="2">
        <v>1</v>
      </c>
      <c r="I54" s="2">
        <v>2</v>
      </c>
      <c r="J54" s="2"/>
      <c r="K54" s="2"/>
      <c r="L54" s="2"/>
      <c r="M54" s="2"/>
    </row>
    <row r="55" spans="2:13" ht="15" thickBot="1" x14ac:dyDescent="0.4">
      <c r="B55" s="2">
        <v>5</v>
      </c>
      <c r="C55" s="2">
        <v>2</v>
      </c>
      <c r="D55" s="2">
        <v>3</v>
      </c>
      <c r="E55" s="2"/>
      <c r="F55" s="2"/>
      <c r="G55" s="2" t="s">
        <v>13</v>
      </c>
      <c r="H55" s="2"/>
      <c r="I55" s="2"/>
      <c r="J55" s="2"/>
      <c r="K55" s="2"/>
      <c r="L55" s="2">
        <v>2</v>
      </c>
      <c r="M55" s="2">
        <v>3</v>
      </c>
    </row>
    <row r="56" spans="2:13" ht="15" thickBot="1" x14ac:dyDescent="0.4">
      <c r="B56" s="2">
        <v>6</v>
      </c>
      <c r="C56" s="2">
        <v>5</v>
      </c>
      <c r="D56" s="2">
        <v>3</v>
      </c>
      <c r="E56" s="2"/>
      <c r="F56" s="2" t="s">
        <v>13</v>
      </c>
      <c r="G56" s="2"/>
      <c r="H56" s="2"/>
      <c r="I56" s="2"/>
      <c r="J56" s="2">
        <v>5</v>
      </c>
      <c r="K56" s="2">
        <v>3</v>
      </c>
      <c r="L56" s="2"/>
      <c r="M56" s="2"/>
    </row>
    <row r="57" spans="2:13" ht="15" thickBot="1" x14ac:dyDescent="0.4">
      <c r="B57" s="2">
        <v>7</v>
      </c>
      <c r="C57" s="2">
        <v>2</v>
      </c>
      <c r="D57" s="2">
        <v>5</v>
      </c>
      <c r="E57" s="2"/>
      <c r="F57" s="2"/>
      <c r="G57" s="2" t="s">
        <v>13</v>
      </c>
      <c r="H57" s="2"/>
      <c r="I57" s="2"/>
      <c r="J57" s="2"/>
      <c r="K57" s="2"/>
      <c r="L57" s="2">
        <v>2</v>
      </c>
      <c r="M57" s="2">
        <v>5</v>
      </c>
    </row>
    <row r="58" spans="2:13" ht="15" thickBot="1" x14ac:dyDescent="0.4">
      <c r="B58" s="2">
        <v>8</v>
      </c>
      <c r="C58" s="2">
        <v>3</v>
      </c>
      <c r="D58" s="2">
        <v>5</v>
      </c>
      <c r="E58" s="2"/>
      <c r="F58" s="2" t="s">
        <v>13</v>
      </c>
      <c r="G58" s="2"/>
      <c r="H58" s="2"/>
      <c r="I58" s="2"/>
      <c r="J58" s="2">
        <v>3</v>
      </c>
      <c r="K58" s="2">
        <v>5</v>
      </c>
      <c r="L58" s="2"/>
      <c r="M58" s="2"/>
    </row>
    <row r="59" spans="2:13" ht="15" thickBot="1" x14ac:dyDescent="0.4">
      <c r="B59" s="2">
        <v>9</v>
      </c>
      <c r="C59" s="2">
        <v>2</v>
      </c>
      <c r="D59" s="2">
        <v>6</v>
      </c>
      <c r="E59" s="2"/>
      <c r="F59" s="2"/>
      <c r="G59" s="2" t="s">
        <v>13</v>
      </c>
      <c r="H59" s="2"/>
      <c r="I59" s="2"/>
      <c r="J59" s="2"/>
      <c r="K59" s="2"/>
      <c r="L59" s="2">
        <v>2</v>
      </c>
      <c r="M59" s="2">
        <v>6</v>
      </c>
    </row>
    <row r="60" spans="2:13" ht="15" thickBot="1" x14ac:dyDescent="0.4">
      <c r="B60" s="2">
        <v>10</v>
      </c>
      <c r="C60" s="2">
        <v>3</v>
      </c>
      <c r="D60" s="2">
        <v>8</v>
      </c>
      <c r="E60" s="2"/>
      <c r="F60" s="2" t="s">
        <v>13</v>
      </c>
      <c r="G60" s="2"/>
      <c r="H60" s="2"/>
      <c r="I60" s="2"/>
      <c r="J60" s="2">
        <v>3</v>
      </c>
      <c r="K60" s="2">
        <v>8</v>
      </c>
      <c r="L60" s="2"/>
      <c r="M60" s="2"/>
    </row>
    <row r="61" spans="2:13" ht="15" thickBot="1" x14ac:dyDescent="0.4">
      <c r="B61" s="13" t="s">
        <v>14</v>
      </c>
      <c r="C61" s="2"/>
      <c r="D61" s="2"/>
      <c r="E61" s="13">
        <v>2</v>
      </c>
      <c r="F61" s="13">
        <v>5</v>
      </c>
      <c r="G61" s="13">
        <v>3</v>
      </c>
      <c r="H61" s="13">
        <f>SUM(H51:H60)</f>
        <v>2</v>
      </c>
      <c r="I61" s="13">
        <f t="shared" ref="I61:L61" si="3">SUM(I51:I60)</f>
        <v>3</v>
      </c>
      <c r="J61" s="13">
        <f t="shared" si="3"/>
        <v>21</v>
      </c>
      <c r="K61" s="13">
        <f t="shared" si="3"/>
        <v>18</v>
      </c>
      <c r="L61" s="13">
        <f t="shared" si="3"/>
        <v>6</v>
      </c>
      <c r="M61" s="13">
        <f>SUM(M51:M60)</f>
        <v>14</v>
      </c>
    </row>
    <row r="63" spans="2:13" x14ac:dyDescent="0.35">
      <c r="B63" t="s">
        <v>15</v>
      </c>
    </row>
    <row r="64" spans="2:13" ht="15" thickBot="1" x14ac:dyDescent="0.4"/>
    <row r="65" spans="2:11" ht="56.5" customHeight="1" thickBot="1" x14ac:dyDescent="0.4">
      <c r="B65" s="35" t="s">
        <v>16</v>
      </c>
      <c r="C65" s="36"/>
      <c r="D65" s="35" t="s">
        <v>41</v>
      </c>
      <c r="E65" s="36"/>
      <c r="F65" s="35" t="s">
        <v>42</v>
      </c>
      <c r="G65" s="62"/>
      <c r="H65" s="51" t="s">
        <v>19</v>
      </c>
      <c r="I65" s="52"/>
    </row>
    <row r="66" spans="2:11" ht="28.5" customHeight="1" thickBot="1" x14ac:dyDescent="0.4">
      <c r="B66" s="37">
        <v>1</v>
      </c>
      <c r="C66" s="38"/>
      <c r="D66" s="37">
        <f>E61/H61</f>
        <v>1</v>
      </c>
      <c r="E66" s="38"/>
      <c r="F66" s="37">
        <f>I61/E61</f>
        <v>1.5</v>
      </c>
      <c r="G66" s="38"/>
      <c r="H66" s="55" t="s">
        <v>43</v>
      </c>
      <c r="I66" s="56"/>
    </row>
    <row r="67" spans="2:11" ht="28.5" customHeight="1" thickBot="1" x14ac:dyDescent="0.4">
      <c r="B67" s="37">
        <v>2</v>
      </c>
      <c r="C67" s="38"/>
      <c r="D67" s="37">
        <f>J61/F61</f>
        <v>4.2</v>
      </c>
      <c r="E67" s="38"/>
      <c r="F67" s="37">
        <f>K61/F61</f>
        <v>3.6</v>
      </c>
      <c r="G67" s="38"/>
      <c r="H67" s="37" t="s">
        <v>44</v>
      </c>
      <c r="I67" s="38"/>
    </row>
    <row r="68" spans="2:11" ht="28.5" customHeight="1" thickBot="1" x14ac:dyDescent="0.4">
      <c r="B68" s="37">
        <v>3</v>
      </c>
      <c r="C68" s="38"/>
      <c r="D68" s="37">
        <f>L61/G61</f>
        <v>2</v>
      </c>
      <c r="E68" s="38"/>
      <c r="F68" s="59">
        <f>M61/G61</f>
        <v>4.666666666666667</v>
      </c>
      <c r="G68" s="60"/>
      <c r="H68" s="37" t="s">
        <v>45</v>
      </c>
      <c r="I68" s="38"/>
    </row>
    <row r="70" spans="2:11" x14ac:dyDescent="0.35">
      <c r="B70" s="42" t="s">
        <v>46</v>
      </c>
      <c r="C70" s="42"/>
      <c r="D70" s="42"/>
      <c r="E70" s="42"/>
      <c r="F70" s="42"/>
      <c r="G70" s="9"/>
      <c r="H70" s="9"/>
      <c r="I70" s="9"/>
    </row>
    <row r="71" spans="2:11" ht="15" thickBot="1" x14ac:dyDescent="0.4">
      <c r="B71" s="57" t="s">
        <v>84</v>
      </c>
      <c r="C71" s="57"/>
      <c r="D71" s="57"/>
      <c r="E71" s="57"/>
      <c r="F71" s="57"/>
      <c r="G71" s="57"/>
      <c r="H71" s="57"/>
      <c r="I71" s="57"/>
    </row>
    <row r="72" spans="2:11" ht="28.5" thickBot="1" x14ac:dyDescent="0.4">
      <c r="B72" s="12" t="s">
        <v>1</v>
      </c>
      <c r="C72" s="12" t="s">
        <v>25</v>
      </c>
      <c r="D72" s="12" t="s">
        <v>26</v>
      </c>
      <c r="E72" s="12" t="s">
        <v>47</v>
      </c>
      <c r="F72" s="12" t="s">
        <v>48</v>
      </c>
      <c r="G72" s="12" t="s">
        <v>49</v>
      </c>
      <c r="H72" s="35" t="s">
        <v>30</v>
      </c>
      <c r="I72" s="36"/>
      <c r="J72" s="12" t="s">
        <v>31</v>
      </c>
      <c r="K72" s="12" t="s">
        <v>32</v>
      </c>
    </row>
    <row r="73" spans="2:11" ht="15" thickBot="1" x14ac:dyDescent="0.4">
      <c r="B73" s="2">
        <v>1</v>
      </c>
      <c r="C73" s="2">
        <v>1</v>
      </c>
      <c r="D73" s="2">
        <v>1</v>
      </c>
      <c r="E73" s="14">
        <f>SQRT((C73-$D$66)^2 + (D73-$F$66)^2)</f>
        <v>0.5</v>
      </c>
      <c r="F73" s="15">
        <f>SQRT((C73-$D$67)^2 + (D73-$F$67)^2)</f>
        <v>4.1231056256176606</v>
      </c>
      <c r="G73" s="15">
        <f>SQRT((C73-$D$68)^2 + (D73-$F$68)^2)</f>
        <v>3.8005847503304602</v>
      </c>
      <c r="H73" s="31">
        <f>E73</f>
        <v>0.5</v>
      </c>
      <c r="I73" s="32"/>
      <c r="J73" s="1">
        <v>1</v>
      </c>
      <c r="K73" s="2">
        <v>1</v>
      </c>
    </row>
    <row r="74" spans="2:11" ht="15" thickBot="1" x14ac:dyDescent="0.4">
      <c r="B74" s="2">
        <v>2</v>
      </c>
      <c r="C74" s="2">
        <v>4</v>
      </c>
      <c r="D74" s="2">
        <v>1</v>
      </c>
      <c r="E74" s="14">
        <f t="shared" ref="E74:E81" si="4">SQRT((C74-$D$66)^2 + (D74-$F$66)^2)</f>
        <v>3.0413812651491097</v>
      </c>
      <c r="F74" s="15">
        <f t="shared" ref="F74:F82" si="5">SQRT((C74-$D$67)^2 + (D74-$F$67)^2)</f>
        <v>2.6076809620810595</v>
      </c>
      <c r="G74" s="15">
        <f t="shared" ref="G74:G82" si="6">SQRT((C74-$D$68)^2 + (D74-$F$68)^2)</f>
        <v>4.1766546953805559</v>
      </c>
      <c r="H74" s="31">
        <f>F74</f>
        <v>2.6076809620810595</v>
      </c>
      <c r="I74" s="32"/>
      <c r="J74" s="1">
        <v>2</v>
      </c>
      <c r="K74" s="2">
        <v>2</v>
      </c>
    </row>
    <row r="75" spans="2:11" ht="15" thickBot="1" x14ac:dyDescent="0.4">
      <c r="B75" s="2">
        <v>3</v>
      </c>
      <c r="C75" s="2">
        <v>6</v>
      </c>
      <c r="D75" s="2">
        <v>1</v>
      </c>
      <c r="E75" s="14">
        <f t="shared" si="4"/>
        <v>5.024937810560445</v>
      </c>
      <c r="F75" s="15">
        <f t="shared" si="5"/>
        <v>3.1622776601683795</v>
      </c>
      <c r="G75" s="15">
        <f t="shared" si="6"/>
        <v>5.4262735320332354</v>
      </c>
      <c r="H75" s="31">
        <f>F75</f>
        <v>3.1622776601683795</v>
      </c>
      <c r="I75" s="32"/>
      <c r="J75" s="1">
        <v>2</v>
      </c>
      <c r="K75" s="2">
        <v>2</v>
      </c>
    </row>
    <row r="76" spans="2:11" ht="15" thickBot="1" x14ac:dyDescent="0.4">
      <c r="B76" s="2">
        <v>4</v>
      </c>
      <c r="C76" s="2">
        <v>1</v>
      </c>
      <c r="D76" s="2">
        <v>2</v>
      </c>
      <c r="E76" s="14">
        <f t="shared" si="4"/>
        <v>0.5</v>
      </c>
      <c r="F76" s="15">
        <f t="shared" si="5"/>
        <v>3.5777087639996639</v>
      </c>
      <c r="G76" s="15">
        <f t="shared" si="6"/>
        <v>2.8480012484391772</v>
      </c>
      <c r="H76" s="31">
        <f>E76</f>
        <v>0.5</v>
      </c>
      <c r="I76" s="32"/>
      <c r="J76" s="1">
        <v>1</v>
      </c>
      <c r="K76" s="2">
        <v>1</v>
      </c>
    </row>
    <row r="77" spans="2:11" ht="15" thickBot="1" x14ac:dyDescent="0.4">
      <c r="B77" s="2">
        <v>5</v>
      </c>
      <c r="C77" s="2">
        <v>2</v>
      </c>
      <c r="D77" s="2">
        <v>3</v>
      </c>
      <c r="E77" s="14">
        <f t="shared" si="4"/>
        <v>1.8027756377319946</v>
      </c>
      <c r="F77" s="15">
        <f t="shared" si="5"/>
        <v>2.2803508501982761</v>
      </c>
      <c r="G77" s="15">
        <f t="shared" si="6"/>
        <v>1.666666666666667</v>
      </c>
      <c r="H77" s="31">
        <f>G77</f>
        <v>1.666666666666667</v>
      </c>
      <c r="I77" s="32"/>
      <c r="J77" s="1">
        <v>3</v>
      </c>
      <c r="K77" s="2">
        <v>3</v>
      </c>
    </row>
    <row r="78" spans="2:11" ht="15" thickBot="1" x14ac:dyDescent="0.4">
      <c r="B78" s="2">
        <v>6</v>
      </c>
      <c r="C78" s="2">
        <v>5</v>
      </c>
      <c r="D78" s="2">
        <v>3</v>
      </c>
      <c r="E78" s="14">
        <f t="shared" si="4"/>
        <v>4.2720018726587652</v>
      </c>
      <c r="F78" s="15">
        <f t="shared" si="5"/>
        <v>0.99999999999999989</v>
      </c>
      <c r="G78" s="15">
        <f t="shared" si="6"/>
        <v>3.4318767136623336</v>
      </c>
      <c r="H78" s="31">
        <f>F78</f>
        <v>0.99999999999999989</v>
      </c>
      <c r="I78" s="32"/>
      <c r="J78" s="1">
        <v>2</v>
      </c>
      <c r="K78" s="2">
        <v>2</v>
      </c>
    </row>
    <row r="79" spans="2:11" ht="15" thickBot="1" x14ac:dyDescent="0.4">
      <c r="B79" s="2">
        <v>7</v>
      </c>
      <c r="C79" s="2">
        <v>2</v>
      </c>
      <c r="D79" s="2">
        <v>5</v>
      </c>
      <c r="E79" s="14">
        <f t="shared" si="4"/>
        <v>3.640054944640259</v>
      </c>
      <c r="F79" s="15">
        <f t="shared" si="5"/>
        <v>2.6076809620810595</v>
      </c>
      <c r="G79" s="15">
        <f t="shared" si="6"/>
        <v>0.33333333333333304</v>
      </c>
      <c r="H79" s="31">
        <f>G79</f>
        <v>0.33333333333333304</v>
      </c>
      <c r="I79" s="32"/>
      <c r="J79" s="1">
        <v>3</v>
      </c>
      <c r="K79" s="2">
        <v>3</v>
      </c>
    </row>
    <row r="80" spans="2:11" ht="15" thickBot="1" x14ac:dyDescent="0.4">
      <c r="B80" s="2">
        <v>8</v>
      </c>
      <c r="C80" s="2">
        <v>3</v>
      </c>
      <c r="D80" s="2">
        <v>5</v>
      </c>
      <c r="E80" s="14">
        <f t="shared" si="4"/>
        <v>4.0311288741492746</v>
      </c>
      <c r="F80" s="15">
        <f t="shared" si="5"/>
        <v>1.8439088914585775</v>
      </c>
      <c r="G80" s="15">
        <f t="shared" si="6"/>
        <v>1.0540925533894596</v>
      </c>
      <c r="H80" s="31">
        <f>G80</f>
        <v>1.0540925533894596</v>
      </c>
      <c r="I80" s="32"/>
      <c r="J80" s="1">
        <v>3</v>
      </c>
      <c r="K80" s="2">
        <v>2</v>
      </c>
    </row>
    <row r="81" spans="2:11" ht="15" thickBot="1" x14ac:dyDescent="0.4">
      <c r="B81" s="2">
        <v>9</v>
      </c>
      <c r="C81" s="2">
        <v>2</v>
      </c>
      <c r="D81" s="2">
        <v>6</v>
      </c>
      <c r="E81" s="14">
        <f t="shared" si="4"/>
        <v>4.6097722286464435</v>
      </c>
      <c r="F81" s="15">
        <f t="shared" si="5"/>
        <v>3.2557641192199416</v>
      </c>
      <c r="G81" s="15">
        <f t="shared" si="6"/>
        <v>1.333333333333333</v>
      </c>
      <c r="H81" s="31">
        <f>G81</f>
        <v>1.333333333333333</v>
      </c>
      <c r="I81" s="32"/>
      <c r="J81" s="1">
        <v>3</v>
      </c>
      <c r="K81" s="2">
        <v>3</v>
      </c>
    </row>
    <row r="82" spans="2:11" ht="15" thickBot="1" x14ac:dyDescent="0.4">
      <c r="B82" s="2">
        <v>10</v>
      </c>
      <c r="C82" s="2">
        <v>3</v>
      </c>
      <c r="D82" s="2">
        <v>8</v>
      </c>
      <c r="E82" s="14">
        <f>SQRT((C82-$D$66)^2 + (D82-$F$66)^2)</f>
        <v>6.800735254367722</v>
      </c>
      <c r="F82" s="15">
        <f t="shared" si="5"/>
        <v>4.5607017003965522</v>
      </c>
      <c r="G82" s="15">
        <f t="shared" si="6"/>
        <v>3.4801021696368499</v>
      </c>
      <c r="H82" s="31">
        <f>G82</f>
        <v>3.4801021696368499</v>
      </c>
      <c r="I82" s="32"/>
      <c r="J82" s="1">
        <v>3</v>
      </c>
      <c r="K82" s="2">
        <v>2</v>
      </c>
    </row>
    <row r="83" spans="2:11" ht="15" thickBot="1" x14ac:dyDescent="0.4">
      <c r="B83" s="12" t="s">
        <v>14</v>
      </c>
      <c r="C83" s="2"/>
      <c r="D83" s="2"/>
      <c r="E83" s="2"/>
      <c r="F83" s="2"/>
      <c r="G83" s="2"/>
      <c r="H83" s="49">
        <f>SUM(H73:I82)</f>
        <v>15.637486678609079</v>
      </c>
      <c r="I83" s="50"/>
      <c r="J83" s="2"/>
      <c r="K83" s="2"/>
    </row>
    <row r="85" spans="2:11" x14ac:dyDescent="0.35">
      <c r="B85" s="58" t="s">
        <v>50</v>
      </c>
      <c r="C85" s="58"/>
      <c r="D85" s="9"/>
    </row>
    <row r="86" spans="2:11" x14ac:dyDescent="0.35">
      <c r="B86" s="54" t="s">
        <v>51</v>
      </c>
      <c r="C86" s="54"/>
      <c r="D86" s="54"/>
    </row>
    <row r="87" spans="2:11" x14ac:dyDescent="0.35">
      <c r="B87" s="54" t="s">
        <v>52</v>
      </c>
      <c r="C87" s="54"/>
      <c r="D87" s="54"/>
    </row>
    <row r="89" spans="2:11" x14ac:dyDescent="0.35">
      <c r="B89" s="3" t="s">
        <v>33</v>
      </c>
    </row>
    <row r="90" spans="2:11" x14ac:dyDescent="0.35">
      <c r="B90" s="54" t="s">
        <v>96</v>
      </c>
      <c r="C90" s="54"/>
      <c r="D90" s="54"/>
      <c r="E90" s="54"/>
      <c r="F90" s="9"/>
      <c r="G90" s="9"/>
      <c r="H90" s="9"/>
      <c r="I90" s="9"/>
      <c r="J90" s="9"/>
      <c r="K90" s="9"/>
    </row>
    <row r="91" spans="2:11" x14ac:dyDescent="0.35">
      <c r="B91" s="53" t="s">
        <v>85</v>
      </c>
      <c r="C91" s="53"/>
      <c r="D91" s="53"/>
      <c r="E91" s="9"/>
      <c r="F91" s="9"/>
      <c r="G91" s="9"/>
      <c r="H91" s="9"/>
      <c r="I91" s="9"/>
      <c r="J91" s="9"/>
      <c r="K91" s="9"/>
    </row>
    <row r="92" spans="2:11" x14ac:dyDescent="0.35">
      <c r="B92" s="54" t="s">
        <v>97</v>
      </c>
      <c r="C92" s="54"/>
      <c r="D92" s="54"/>
      <c r="E92" s="54"/>
      <c r="F92" s="9"/>
      <c r="G92" s="9"/>
      <c r="H92" s="9"/>
      <c r="I92" s="9"/>
      <c r="J92" s="9"/>
      <c r="K92" s="9"/>
    </row>
    <row r="93" spans="2:11" x14ac:dyDescent="0.35">
      <c r="B93" s="53" t="s">
        <v>86</v>
      </c>
      <c r="C93" s="53"/>
      <c r="D93" s="53"/>
      <c r="E93" s="53"/>
      <c r="F93" s="53"/>
      <c r="G93" s="53"/>
      <c r="H93" s="53"/>
      <c r="I93" s="53"/>
      <c r="J93" s="53"/>
      <c r="K93" s="53"/>
    </row>
    <row r="96" spans="2:11" x14ac:dyDescent="0.35">
      <c r="B96" t="s">
        <v>53</v>
      </c>
    </row>
    <row r="97" spans="2:13" x14ac:dyDescent="0.35">
      <c r="B97" s="4" t="s">
        <v>54</v>
      </c>
    </row>
    <row r="98" spans="2:13" x14ac:dyDescent="0.35">
      <c r="B98" s="6" t="s">
        <v>55</v>
      </c>
    </row>
    <row r="99" spans="2:13" x14ac:dyDescent="0.35">
      <c r="B99" s="4" t="s">
        <v>56</v>
      </c>
    </row>
    <row r="100" spans="2:13" x14ac:dyDescent="0.35">
      <c r="B100" s="6" t="s">
        <v>57</v>
      </c>
    </row>
    <row r="102" spans="2:13" x14ac:dyDescent="0.35">
      <c r="B102" s="6" t="s">
        <v>58</v>
      </c>
    </row>
    <row r="103" spans="2:13" ht="15" thickBot="1" x14ac:dyDescent="0.4">
      <c r="B103" s="4" t="s">
        <v>59</v>
      </c>
    </row>
    <row r="104" spans="2:13" ht="15" thickBot="1" x14ac:dyDescent="0.4">
      <c r="B104" s="13" t="s">
        <v>1</v>
      </c>
      <c r="C104" s="13" t="s">
        <v>25</v>
      </c>
      <c r="D104" s="13" t="s">
        <v>26</v>
      </c>
      <c r="E104" s="13" t="s">
        <v>4</v>
      </c>
      <c r="F104" s="13" t="s">
        <v>5</v>
      </c>
      <c r="G104" s="13" t="s">
        <v>6</v>
      </c>
      <c r="H104" s="13" t="s">
        <v>7</v>
      </c>
      <c r="I104" s="13" t="s">
        <v>8</v>
      </c>
      <c r="J104" s="13" t="s">
        <v>9</v>
      </c>
      <c r="K104" s="13" t="s">
        <v>10</v>
      </c>
      <c r="L104" s="13" t="s">
        <v>11</v>
      </c>
      <c r="M104" s="13" t="s">
        <v>12</v>
      </c>
    </row>
    <row r="105" spans="2:13" ht="15" thickBot="1" x14ac:dyDescent="0.4">
      <c r="B105" s="2">
        <v>1</v>
      </c>
      <c r="C105" s="2">
        <v>1</v>
      </c>
      <c r="D105" s="2">
        <v>1</v>
      </c>
      <c r="E105" s="2" t="s">
        <v>13</v>
      </c>
      <c r="F105" s="2"/>
      <c r="G105" s="2"/>
      <c r="H105" s="2">
        <v>1</v>
      </c>
      <c r="I105" s="2">
        <v>1</v>
      </c>
      <c r="J105" s="2"/>
      <c r="K105" s="2"/>
      <c r="L105" s="2"/>
      <c r="M105" s="2"/>
    </row>
    <row r="106" spans="2:13" ht="15" thickBot="1" x14ac:dyDescent="0.4">
      <c r="B106" s="2">
        <v>2</v>
      </c>
      <c r="C106" s="2">
        <v>4</v>
      </c>
      <c r="D106" s="2">
        <v>1</v>
      </c>
      <c r="E106" s="2"/>
      <c r="F106" s="2" t="s">
        <v>13</v>
      </c>
      <c r="G106" s="2"/>
      <c r="H106" s="2"/>
      <c r="I106" s="2"/>
      <c r="J106" s="2">
        <v>4</v>
      </c>
      <c r="K106" s="2">
        <v>1</v>
      </c>
      <c r="L106" s="2"/>
      <c r="M106" s="2"/>
    </row>
    <row r="107" spans="2:13" ht="15" thickBot="1" x14ac:dyDescent="0.4">
      <c r="B107" s="2">
        <v>3</v>
      </c>
      <c r="C107" s="2">
        <v>6</v>
      </c>
      <c r="D107" s="2">
        <v>1</v>
      </c>
      <c r="E107" s="2"/>
      <c r="F107" s="2" t="s">
        <v>13</v>
      </c>
      <c r="G107" s="2"/>
      <c r="H107" s="2"/>
      <c r="I107" s="2"/>
      <c r="J107" s="2">
        <v>6</v>
      </c>
      <c r="K107" s="2">
        <v>1</v>
      </c>
      <c r="L107" s="2"/>
      <c r="M107" s="2"/>
    </row>
    <row r="108" spans="2:13" ht="15" thickBot="1" x14ac:dyDescent="0.4">
      <c r="B108" s="2">
        <v>4</v>
      </c>
      <c r="C108" s="2">
        <v>1</v>
      </c>
      <c r="D108" s="2">
        <v>2</v>
      </c>
      <c r="E108" s="2" t="s">
        <v>13</v>
      </c>
      <c r="F108" s="2"/>
      <c r="G108" s="2"/>
      <c r="H108" s="2">
        <v>1</v>
      </c>
      <c r="I108" s="2">
        <v>2</v>
      </c>
      <c r="J108" s="2"/>
      <c r="K108" s="2"/>
      <c r="L108" s="2"/>
      <c r="M108" s="2"/>
    </row>
    <row r="109" spans="2:13" ht="15" thickBot="1" x14ac:dyDescent="0.4">
      <c r="B109" s="2">
        <v>5</v>
      </c>
      <c r="C109" s="2">
        <v>2</v>
      </c>
      <c r="D109" s="2">
        <v>3</v>
      </c>
      <c r="E109" s="2"/>
      <c r="F109" s="2"/>
      <c r="G109" s="2" t="s">
        <v>13</v>
      </c>
      <c r="H109" s="2"/>
      <c r="I109" s="2"/>
      <c r="J109" s="2"/>
      <c r="K109" s="2"/>
      <c r="L109" s="2">
        <v>2</v>
      </c>
      <c r="M109" s="2">
        <v>3</v>
      </c>
    </row>
    <row r="110" spans="2:13" ht="15" thickBot="1" x14ac:dyDescent="0.4">
      <c r="B110" s="2">
        <v>6</v>
      </c>
      <c r="C110" s="2">
        <v>5</v>
      </c>
      <c r="D110" s="2">
        <v>3</v>
      </c>
      <c r="E110" s="2"/>
      <c r="F110" s="2" t="s">
        <v>13</v>
      </c>
      <c r="G110" s="2"/>
      <c r="H110" s="2"/>
      <c r="I110" s="2"/>
      <c r="J110" s="2">
        <v>5</v>
      </c>
      <c r="K110" s="2">
        <v>3</v>
      </c>
      <c r="L110" s="2"/>
      <c r="M110" s="2"/>
    </row>
    <row r="111" spans="2:13" ht="15" thickBot="1" x14ac:dyDescent="0.4">
      <c r="B111" s="2">
        <v>7</v>
      </c>
      <c r="C111" s="2">
        <v>2</v>
      </c>
      <c r="D111" s="2">
        <v>5</v>
      </c>
      <c r="E111" s="2"/>
      <c r="F111" s="2"/>
      <c r="G111" s="2" t="s">
        <v>13</v>
      </c>
      <c r="H111" s="2"/>
      <c r="I111" s="2"/>
      <c r="J111" s="2"/>
      <c r="K111" s="2"/>
      <c r="L111" s="2">
        <v>2</v>
      </c>
      <c r="M111" s="2">
        <v>5</v>
      </c>
    </row>
    <row r="112" spans="2:13" ht="15" thickBot="1" x14ac:dyDescent="0.4">
      <c r="B112" s="2">
        <v>8</v>
      </c>
      <c r="C112" s="2">
        <v>3</v>
      </c>
      <c r="D112" s="2">
        <v>5</v>
      </c>
      <c r="E112" s="2"/>
      <c r="F112" s="2"/>
      <c r="G112" s="2" t="s">
        <v>13</v>
      </c>
      <c r="H112" s="2"/>
      <c r="I112" s="2"/>
      <c r="J112" s="2"/>
      <c r="K112" s="2"/>
      <c r="L112" s="2">
        <v>3</v>
      </c>
      <c r="M112" s="2">
        <v>5</v>
      </c>
    </row>
    <row r="113" spans="2:13" ht="15" thickBot="1" x14ac:dyDescent="0.4">
      <c r="B113" s="2">
        <v>9</v>
      </c>
      <c r="C113" s="2">
        <v>2</v>
      </c>
      <c r="D113" s="2">
        <v>6</v>
      </c>
      <c r="E113" s="2"/>
      <c r="F113" s="2"/>
      <c r="G113" s="2" t="s">
        <v>13</v>
      </c>
      <c r="H113" s="2"/>
      <c r="I113" s="2"/>
      <c r="J113" s="2"/>
      <c r="K113" s="2"/>
      <c r="L113" s="2">
        <v>2</v>
      </c>
      <c r="M113" s="2">
        <v>6</v>
      </c>
    </row>
    <row r="114" spans="2:13" ht="15" thickBot="1" x14ac:dyDescent="0.4">
      <c r="B114" s="2">
        <v>10</v>
      </c>
      <c r="C114" s="2">
        <v>3</v>
      </c>
      <c r="D114" s="2">
        <v>8</v>
      </c>
      <c r="E114" s="2"/>
      <c r="F114" s="2"/>
      <c r="G114" s="2" t="s">
        <v>13</v>
      </c>
      <c r="H114" s="2"/>
      <c r="I114" s="2"/>
      <c r="J114" s="2"/>
      <c r="K114" s="2"/>
      <c r="L114" s="2">
        <v>3</v>
      </c>
      <c r="M114" s="2">
        <v>8</v>
      </c>
    </row>
    <row r="115" spans="2:13" ht="15" thickBot="1" x14ac:dyDescent="0.4">
      <c r="B115" s="13" t="s">
        <v>14</v>
      </c>
      <c r="C115" s="2"/>
      <c r="D115" s="2"/>
      <c r="E115" s="13">
        <v>2</v>
      </c>
      <c r="F115" s="13">
        <v>3</v>
      </c>
      <c r="G115" s="13">
        <v>5</v>
      </c>
      <c r="H115" s="13">
        <f>SUM(H105:H114)</f>
        <v>2</v>
      </c>
      <c r="I115" s="13">
        <f t="shared" ref="I115:M115" si="7">SUM(I105:I114)</f>
        <v>3</v>
      </c>
      <c r="J115" s="13">
        <f t="shared" si="7"/>
        <v>15</v>
      </c>
      <c r="K115" s="13">
        <f t="shared" si="7"/>
        <v>5</v>
      </c>
      <c r="L115" s="13">
        <f t="shared" si="7"/>
        <v>12</v>
      </c>
      <c r="M115" s="13">
        <f t="shared" si="7"/>
        <v>27</v>
      </c>
    </row>
    <row r="117" spans="2:13" ht="15" thickBot="1" x14ac:dyDescent="0.4">
      <c r="B117" t="s">
        <v>60</v>
      </c>
    </row>
    <row r="118" spans="2:13" ht="42.5" customHeight="1" thickBot="1" x14ac:dyDescent="0.4">
      <c r="B118" s="35" t="s">
        <v>16</v>
      </c>
      <c r="C118" s="36"/>
      <c r="D118" s="27" t="s">
        <v>41</v>
      </c>
      <c r="E118" s="28"/>
      <c r="F118" s="27" t="s">
        <v>42</v>
      </c>
      <c r="G118" s="39"/>
      <c r="H118" s="43" t="s">
        <v>19</v>
      </c>
      <c r="I118" s="44"/>
    </row>
    <row r="119" spans="2:13" ht="28.5" customHeight="1" thickBot="1" x14ac:dyDescent="0.4">
      <c r="B119" s="37">
        <v>1</v>
      </c>
      <c r="C119" s="38"/>
      <c r="D119" s="29">
        <f>H115/E115</f>
        <v>1</v>
      </c>
      <c r="E119" s="30"/>
      <c r="F119" s="29">
        <f>I115/E115</f>
        <v>1.5</v>
      </c>
      <c r="G119" s="40"/>
      <c r="H119" s="45" t="s">
        <v>43</v>
      </c>
      <c r="I119" s="46"/>
    </row>
    <row r="120" spans="2:13" ht="42.5" customHeight="1" thickBot="1" x14ac:dyDescent="0.4">
      <c r="B120" s="37">
        <v>2</v>
      </c>
      <c r="C120" s="38"/>
      <c r="D120" s="29">
        <f>J115/F115</f>
        <v>5</v>
      </c>
      <c r="E120" s="30"/>
      <c r="F120" s="31">
        <f>K115/F115</f>
        <v>1.6666666666666667</v>
      </c>
      <c r="G120" s="41"/>
      <c r="H120" s="45" t="s">
        <v>61</v>
      </c>
      <c r="I120" s="46"/>
    </row>
    <row r="121" spans="2:13" ht="28.5" customHeight="1" thickBot="1" x14ac:dyDescent="0.4">
      <c r="B121" s="37">
        <v>3</v>
      </c>
      <c r="C121" s="38"/>
      <c r="D121" s="29">
        <f>L115/G115</f>
        <v>2.4</v>
      </c>
      <c r="E121" s="30"/>
      <c r="F121" s="29">
        <f>M115/G115</f>
        <v>5.4</v>
      </c>
      <c r="G121" s="40"/>
      <c r="H121" s="47" t="s">
        <v>62</v>
      </c>
      <c r="I121" s="48"/>
    </row>
    <row r="123" spans="2:13" x14ac:dyDescent="0.35">
      <c r="B123" t="s">
        <v>63</v>
      </c>
    </row>
    <row r="124" spans="2:13" ht="15" thickBot="1" x14ac:dyDescent="0.4">
      <c r="B124" t="s">
        <v>87</v>
      </c>
    </row>
    <row r="125" spans="2:13" ht="28.5" thickBot="1" x14ac:dyDescent="0.4">
      <c r="B125" s="12" t="s">
        <v>1</v>
      </c>
      <c r="C125" s="12" t="s">
        <v>25</v>
      </c>
      <c r="D125" s="12" t="s">
        <v>26</v>
      </c>
      <c r="E125" s="12" t="s">
        <v>47</v>
      </c>
      <c r="F125" s="12" t="s">
        <v>48</v>
      </c>
      <c r="G125" s="12" t="s">
        <v>49</v>
      </c>
      <c r="H125" s="12" t="s">
        <v>64</v>
      </c>
      <c r="I125" s="12" t="s">
        <v>31</v>
      </c>
      <c r="J125" s="12" t="s">
        <v>32</v>
      </c>
    </row>
    <row r="126" spans="2:13" ht="15" thickBot="1" x14ac:dyDescent="0.4">
      <c r="B126" s="2">
        <v>1</v>
      </c>
      <c r="C126" s="2">
        <v>1</v>
      </c>
      <c r="D126" s="2">
        <v>1</v>
      </c>
      <c r="E126" s="14">
        <f>SQRT((C126-$D$119)^2 + (D126-$F$119)^2)</f>
        <v>0.5</v>
      </c>
      <c r="F126" s="15">
        <f>SQRT((C126-$D$120)^2 + (D126-$F$120)^2)</f>
        <v>4.0551750201988126</v>
      </c>
      <c r="G126" s="15">
        <f>SQRT((C126-$D$121)^2 + (D126-$F$121)^2)</f>
        <v>4.6173585522460785</v>
      </c>
      <c r="H126" s="16">
        <f>E126</f>
        <v>0.5</v>
      </c>
      <c r="I126" s="1">
        <v>1</v>
      </c>
      <c r="J126" s="2">
        <v>1</v>
      </c>
    </row>
    <row r="127" spans="2:13" ht="15" thickBot="1" x14ac:dyDescent="0.4">
      <c r="B127" s="2">
        <v>2</v>
      </c>
      <c r="C127" s="2">
        <v>4</v>
      </c>
      <c r="D127" s="2">
        <v>1</v>
      </c>
      <c r="E127" s="14">
        <f t="shared" ref="E127:E135" si="8">SQRT((C127-$D$119)^2 + (D127-$F$119)^2)</f>
        <v>3.0413812651491097</v>
      </c>
      <c r="F127" s="15">
        <f t="shared" ref="F127:F135" si="9">SQRT((C127-$D$120)^2 + (D127-$F$120)^2)</f>
        <v>1.2018504251546631</v>
      </c>
      <c r="G127" s="15">
        <f t="shared" ref="G127:G134" si="10">SQRT((C127-$D$121)^2 + (D127-$F$121)^2)</f>
        <v>4.6818799642878499</v>
      </c>
      <c r="H127" s="16">
        <f>F127</f>
        <v>1.2018504251546631</v>
      </c>
      <c r="I127" s="1">
        <v>2</v>
      </c>
      <c r="J127" s="2">
        <v>2</v>
      </c>
    </row>
    <row r="128" spans="2:13" ht="15" thickBot="1" x14ac:dyDescent="0.4">
      <c r="B128" s="2">
        <v>3</v>
      </c>
      <c r="C128" s="2">
        <v>6</v>
      </c>
      <c r="D128" s="2">
        <v>1</v>
      </c>
      <c r="E128" s="14">
        <f t="shared" si="8"/>
        <v>5.024937810560445</v>
      </c>
      <c r="F128" s="15">
        <f t="shared" si="9"/>
        <v>1.2018504251546631</v>
      </c>
      <c r="G128" s="15">
        <f t="shared" si="10"/>
        <v>5.6850681614207588</v>
      </c>
      <c r="H128" s="16">
        <f>F128</f>
        <v>1.2018504251546631</v>
      </c>
      <c r="I128" s="1">
        <v>2</v>
      </c>
      <c r="J128" s="2">
        <v>2</v>
      </c>
    </row>
    <row r="129" spans="2:10" ht="15" thickBot="1" x14ac:dyDescent="0.4">
      <c r="B129" s="2">
        <v>4</v>
      </c>
      <c r="C129" s="2">
        <v>1</v>
      </c>
      <c r="D129" s="2">
        <v>2</v>
      </c>
      <c r="E129" s="14">
        <f t="shared" si="8"/>
        <v>0.5</v>
      </c>
      <c r="F129" s="15">
        <f t="shared" si="9"/>
        <v>4.0138648595974313</v>
      </c>
      <c r="G129" s="15">
        <f t="shared" si="10"/>
        <v>3.6769552621700474</v>
      </c>
      <c r="H129" s="16">
        <f>E129</f>
        <v>0.5</v>
      </c>
      <c r="I129" s="1">
        <v>1</v>
      </c>
      <c r="J129" s="2">
        <v>1</v>
      </c>
    </row>
    <row r="130" spans="2:10" ht="15" thickBot="1" x14ac:dyDescent="0.4">
      <c r="B130" s="2">
        <v>5</v>
      </c>
      <c r="C130" s="2">
        <v>2</v>
      </c>
      <c r="D130" s="2">
        <v>3</v>
      </c>
      <c r="E130" s="14">
        <f t="shared" si="8"/>
        <v>1.8027756377319946</v>
      </c>
      <c r="F130" s="15">
        <f t="shared" si="9"/>
        <v>3.2829526005987018</v>
      </c>
      <c r="G130" s="15">
        <f t="shared" si="10"/>
        <v>2.4331050121192881</v>
      </c>
      <c r="H130" s="16">
        <f>E130</f>
        <v>1.8027756377319946</v>
      </c>
      <c r="I130" s="1">
        <v>1</v>
      </c>
      <c r="J130" s="2">
        <v>3</v>
      </c>
    </row>
    <row r="131" spans="2:10" ht="15" thickBot="1" x14ac:dyDescent="0.4">
      <c r="B131" s="2">
        <v>6</v>
      </c>
      <c r="C131" s="2">
        <v>5</v>
      </c>
      <c r="D131" s="2">
        <v>3</v>
      </c>
      <c r="E131" s="14">
        <f t="shared" si="8"/>
        <v>4.2720018726587652</v>
      </c>
      <c r="F131" s="15">
        <f t="shared" si="9"/>
        <v>1.3333333333333333</v>
      </c>
      <c r="G131" s="15">
        <f t="shared" si="10"/>
        <v>3.5383612025908269</v>
      </c>
      <c r="H131" s="16">
        <f>F131</f>
        <v>1.3333333333333333</v>
      </c>
      <c r="I131" s="1">
        <v>2</v>
      </c>
      <c r="J131" s="2">
        <v>2</v>
      </c>
    </row>
    <row r="132" spans="2:10" ht="15" thickBot="1" x14ac:dyDescent="0.4">
      <c r="B132" s="2">
        <v>7</v>
      </c>
      <c r="C132" s="2">
        <v>2</v>
      </c>
      <c r="D132" s="2">
        <v>5</v>
      </c>
      <c r="E132" s="14">
        <f t="shared" si="8"/>
        <v>3.640054944640259</v>
      </c>
      <c r="F132" s="15">
        <f t="shared" si="9"/>
        <v>4.4845413490245694</v>
      </c>
      <c r="G132" s="15">
        <f t="shared" si="10"/>
        <v>0.56568542494923812</v>
      </c>
      <c r="H132" s="16">
        <f>G132</f>
        <v>0.56568542494923812</v>
      </c>
      <c r="I132" s="1">
        <v>3</v>
      </c>
      <c r="J132" s="2">
        <v>3</v>
      </c>
    </row>
    <row r="133" spans="2:10" ht="15" thickBot="1" x14ac:dyDescent="0.4">
      <c r="B133" s="2">
        <v>8</v>
      </c>
      <c r="C133" s="2">
        <v>3</v>
      </c>
      <c r="D133" s="2">
        <v>5</v>
      </c>
      <c r="E133" s="14">
        <f t="shared" si="8"/>
        <v>4.0311288741492746</v>
      </c>
      <c r="F133" s="15">
        <f t="shared" si="9"/>
        <v>3.8873012632302002</v>
      </c>
      <c r="G133" s="15">
        <f t="shared" si="10"/>
        <v>0.72111025509279814</v>
      </c>
      <c r="H133" s="16">
        <f>G133</f>
        <v>0.72111025509279814</v>
      </c>
      <c r="I133" s="1">
        <v>3</v>
      </c>
      <c r="J133" s="2">
        <v>3</v>
      </c>
    </row>
    <row r="134" spans="2:10" ht="15" thickBot="1" x14ac:dyDescent="0.4">
      <c r="B134" s="2">
        <v>9</v>
      </c>
      <c r="C134" s="2">
        <v>2</v>
      </c>
      <c r="D134" s="2">
        <v>6</v>
      </c>
      <c r="E134" s="14">
        <f t="shared" si="8"/>
        <v>4.6097722286464435</v>
      </c>
      <c r="F134" s="15">
        <f t="shared" si="9"/>
        <v>5.2704627669472988</v>
      </c>
      <c r="G134" s="15">
        <f t="shared" si="10"/>
        <v>0.72111025509279758</v>
      </c>
      <c r="H134" s="16">
        <f>G134</f>
        <v>0.72111025509279758</v>
      </c>
      <c r="I134" s="1">
        <v>3</v>
      </c>
      <c r="J134" s="2">
        <v>3</v>
      </c>
    </row>
    <row r="135" spans="2:10" ht="15" thickBot="1" x14ac:dyDescent="0.4">
      <c r="B135" s="2">
        <v>10</v>
      </c>
      <c r="C135" s="2">
        <v>3</v>
      </c>
      <c r="D135" s="2">
        <v>8</v>
      </c>
      <c r="E135" s="14">
        <f t="shared" si="8"/>
        <v>6.800735254367722</v>
      </c>
      <c r="F135" s="15">
        <f t="shared" si="9"/>
        <v>6.641619615057091</v>
      </c>
      <c r="G135" s="15">
        <f>SQRT((C135-$D$121)^2 + (D135-$F$121)^2)</f>
        <v>2.6683328128252666</v>
      </c>
      <c r="H135" s="16">
        <f>G135</f>
        <v>2.6683328128252666</v>
      </c>
      <c r="I135" s="1">
        <v>3</v>
      </c>
      <c r="J135" s="2">
        <v>3</v>
      </c>
    </row>
    <row r="136" spans="2:10" ht="15" thickBot="1" x14ac:dyDescent="0.4">
      <c r="B136" s="12" t="s">
        <v>14</v>
      </c>
      <c r="C136" s="2"/>
      <c r="D136" s="2"/>
      <c r="E136" s="2"/>
      <c r="F136" s="2"/>
      <c r="G136" s="2"/>
      <c r="H136" s="17">
        <f>SUM(H126:H135)</f>
        <v>11.216048569334752</v>
      </c>
      <c r="I136" s="2"/>
      <c r="J136" s="2"/>
    </row>
    <row r="138" spans="2:10" x14ac:dyDescent="0.35">
      <c r="B138" s="7" t="s">
        <v>50</v>
      </c>
    </row>
    <row r="139" spans="2:10" x14ac:dyDescent="0.35">
      <c r="B139" s="4" t="s">
        <v>65</v>
      </c>
    </row>
    <row r="140" spans="2:10" x14ac:dyDescent="0.35">
      <c r="B140" s="3" t="s">
        <v>33</v>
      </c>
    </row>
    <row r="141" spans="2:10" x14ac:dyDescent="0.35">
      <c r="B141" s="4" t="s">
        <v>88</v>
      </c>
    </row>
    <row r="142" spans="2:10" x14ac:dyDescent="0.35">
      <c r="B142" s="5" t="s">
        <v>89</v>
      </c>
    </row>
    <row r="143" spans="2:10" x14ac:dyDescent="0.35">
      <c r="B143" s="4" t="s">
        <v>98</v>
      </c>
    </row>
    <row r="144" spans="2:10" x14ac:dyDescent="0.35">
      <c r="B144" s="5" t="s">
        <v>90</v>
      </c>
    </row>
    <row r="146" spans="2:13" x14ac:dyDescent="0.35">
      <c r="B146" s="42" t="s">
        <v>66</v>
      </c>
      <c r="C146" s="42"/>
      <c r="D146" s="42"/>
      <c r="E146" s="42"/>
      <c r="F146" s="42"/>
    </row>
    <row r="147" spans="2:13" x14ac:dyDescent="0.35">
      <c r="B147" s="42" t="s">
        <v>67</v>
      </c>
      <c r="C147" s="42"/>
      <c r="D147" s="42"/>
      <c r="E147" s="42"/>
      <c r="F147" s="42"/>
    </row>
    <row r="148" spans="2:13" x14ac:dyDescent="0.35">
      <c r="B148" s="42" t="s">
        <v>68</v>
      </c>
      <c r="C148" s="42"/>
      <c r="D148" s="42"/>
      <c r="E148" s="42"/>
      <c r="F148" s="42"/>
    </row>
    <row r="149" spans="2:13" x14ac:dyDescent="0.35">
      <c r="B149" s="22" t="s">
        <v>69</v>
      </c>
      <c r="C149" s="22"/>
      <c r="D149" s="22"/>
      <c r="E149" s="22"/>
      <c r="F149" s="22"/>
    </row>
    <row r="150" spans="2:13" x14ac:dyDescent="0.35">
      <c r="B150" s="22" t="s">
        <v>70</v>
      </c>
      <c r="C150" s="22"/>
      <c r="D150" s="22"/>
      <c r="E150" s="22"/>
      <c r="F150" s="22"/>
    </row>
    <row r="151" spans="2:13" x14ac:dyDescent="0.35">
      <c r="B151" s="22" t="s">
        <v>71</v>
      </c>
      <c r="C151" s="22"/>
      <c r="D151" s="22"/>
      <c r="E151" s="22"/>
      <c r="F151" s="22"/>
    </row>
    <row r="152" spans="2:13" ht="15" thickBot="1" x14ac:dyDescent="0.4"/>
    <row r="153" spans="2:13" ht="15" thickBot="1" x14ac:dyDescent="0.4">
      <c r="B153" s="18" t="s">
        <v>1</v>
      </c>
      <c r="C153" s="18" t="s">
        <v>25</v>
      </c>
      <c r="D153" s="18" t="s">
        <v>26</v>
      </c>
      <c r="E153" s="18" t="s">
        <v>4</v>
      </c>
      <c r="F153" s="18" t="s">
        <v>5</v>
      </c>
      <c r="G153" s="18" t="s">
        <v>6</v>
      </c>
      <c r="H153" s="18" t="s">
        <v>7</v>
      </c>
      <c r="I153" s="18" t="s">
        <v>8</v>
      </c>
      <c r="J153" s="18" t="s">
        <v>9</v>
      </c>
      <c r="K153" s="18" t="s">
        <v>10</v>
      </c>
      <c r="L153" s="18" t="s">
        <v>11</v>
      </c>
      <c r="M153" s="18" t="s">
        <v>12</v>
      </c>
    </row>
    <row r="154" spans="2:13" ht="15" thickBot="1" x14ac:dyDescent="0.4">
      <c r="B154" s="2">
        <v>1</v>
      </c>
      <c r="C154" s="2">
        <v>1</v>
      </c>
      <c r="D154" s="2">
        <v>1</v>
      </c>
      <c r="E154" s="2" t="s">
        <v>13</v>
      </c>
      <c r="F154" s="2"/>
      <c r="G154" s="2"/>
      <c r="H154" s="2">
        <v>1</v>
      </c>
      <c r="I154" s="2">
        <v>1</v>
      </c>
      <c r="J154" s="2"/>
      <c r="K154" s="2"/>
      <c r="L154" s="2"/>
      <c r="M154" s="2"/>
    </row>
    <row r="155" spans="2:13" ht="15" thickBot="1" x14ac:dyDescent="0.4">
      <c r="B155" s="2">
        <v>2</v>
      </c>
      <c r="C155" s="2">
        <v>4</v>
      </c>
      <c r="D155" s="2">
        <v>1</v>
      </c>
      <c r="E155" s="2"/>
      <c r="F155" s="2" t="s">
        <v>13</v>
      </c>
      <c r="G155" s="2"/>
      <c r="H155" s="2"/>
      <c r="I155" s="2"/>
      <c r="J155" s="2">
        <v>4</v>
      </c>
      <c r="K155" s="2">
        <v>1</v>
      </c>
      <c r="L155" s="2"/>
      <c r="M155" s="2"/>
    </row>
    <row r="156" spans="2:13" ht="15" thickBot="1" x14ac:dyDescent="0.4">
      <c r="B156" s="2">
        <v>3</v>
      </c>
      <c r="C156" s="2">
        <v>6</v>
      </c>
      <c r="D156" s="2">
        <v>1</v>
      </c>
      <c r="E156" s="2"/>
      <c r="F156" s="2" t="s">
        <v>13</v>
      </c>
      <c r="G156" s="2"/>
      <c r="H156" s="2"/>
      <c r="I156" s="2"/>
      <c r="J156" s="2">
        <v>6</v>
      </c>
      <c r="K156" s="2">
        <v>1</v>
      </c>
      <c r="L156" s="2"/>
      <c r="M156" s="2"/>
    </row>
    <row r="157" spans="2:13" ht="15" thickBot="1" x14ac:dyDescent="0.4">
      <c r="B157" s="2">
        <v>4</v>
      </c>
      <c r="C157" s="2">
        <v>1</v>
      </c>
      <c r="D157" s="2">
        <v>2</v>
      </c>
      <c r="E157" s="2" t="s">
        <v>13</v>
      </c>
      <c r="F157" s="2"/>
      <c r="G157" s="2"/>
      <c r="H157" s="2">
        <v>1</v>
      </c>
      <c r="I157" s="2">
        <v>2</v>
      </c>
      <c r="J157" s="2"/>
      <c r="K157" s="2"/>
      <c r="L157" s="2"/>
      <c r="M157" s="2"/>
    </row>
    <row r="158" spans="2:13" ht="15" thickBot="1" x14ac:dyDescent="0.4">
      <c r="B158" s="2">
        <v>5</v>
      </c>
      <c r="C158" s="2">
        <v>2</v>
      </c>
      <c r="D158" s="2">
        <v>3</v>
      </c>
      <c r="E158" s="2" t="s">
        <v>13</v>
      </c>
      <c r="F158" s="2"/>
      <c r="G158" s="2"/>
      <c r="H158" s="2">
        <v>2</v>
      </c>
      <c r="I158" s="2">
        <v>3</v>
      </c>
      <c r="J158" s="2"/>
      <c r="K158" s="2"/>
      <c r="L158" s="2"/>
      <c r="M158" s="2"/>
    </row>
    <row r="159" spans="2:13" ht="15" thickBot="1" x14ac:dyDescent="0.4">
      <c r="B159" s="2">
        <v>6</v>
      </c>
      <c r="C159" s="2">
        <v>5</v>
      </c>
      <c r="D159" s="2">
        <v>3</v>
      </c>
      <c r="E159" s="2"/>
      <c r="F159" s="2" t="s">
        <v>13</v>
      </c>
      <c r="G159" s="2"/>
      <c r="H159" s="2"/>
      <c r="I159" s="2"/>
      <c r="J159" s="2">
        <v>5</v>
      </c>
      <c r="K159" s="2">
        <v>3</v>
      </c>
      <c r="L159" s="2"/>
      <c r="M159" s="2"/>
    </row>
    <row r="160" spans="2:13" ht="15" thickBot="1" x14ac:dyDescent="0.4">
      <c r="B160" s="2">
        <v>7</v>
      </c>
      <c r="C160" s="2">
        <v>2</v>
      </c>
      <c r="D160" s="2">
        <v>5</v>
      </c>
      <c r="E160" s="2"/>
      <c r="F160" s="2"/>
      <c r="G160" s="2" t="s">
        <v>13</v>
      </c>
      <c r="H160" s="2"/>
      <c r="I160" s="2"/>
      <c r="J160" s="2"/>
      <c r="K160" s="2"/>
      <c r="L160" s="2">
        <v>2</v>
      </c>
      <c r="M160" s="2">
        <v>5</v>
      </c>
    </row>
    <row r="161" spans="2:13" ht="15" thickBot="1" x14ac:dyDescent="0.4">
      <c r="B161" s="2">
        <v>8</v>
      </c>
      <c r="C161" s="2">
        <v>3</v>
      </c>
      <c r="D161" s="2">
        <v>5</v>
      </c>
      <c r="E161" s="2"/>
      <c r="F161" s="2"/>
      <c r="G161" s="2" t="s">
        <v>13</v>
      </c>
      <c r="H161" s="2"/>
      <c r="I161" s="2"/>
      <c r="J161" s="2"/>
      <c r="K161" s="2"/>
      <c r="L161" s="2">
        <v>3</v>
      </c>
      <c r="M161" s="2">
        <v>5</v>
      </c>
    </row>
    <row r="162" spans="2:13" ht="15" thickBot="1" x14ac:dyDescent="0.4">
      <c r="B162" s="2">
        <v>9</v>
      </c>
      <c r="C162" s="2">
        <v>2</v>
      </c>
      <c r="D162" s="2">
        <v>6</v>
      </c>
      <c r="E162" s="2"/>
      <c r="F162" s="2"/>
      <c r="G162" s="2" t="s">
        <v>13</v>
      </c>
      <c r="H162" s="2"/>
      <c r="I162" s="2"/>
      <c r="J162" s="2"/>
      <c r="K162" s="2"/>
      <c r="L162" s="2">
        <v>2</v>
      </c>
      <c r="M162" s="2">
        <v>6</v>
      </c>
    </row>
    <row r="163" spans="2:13" ht="15" thickBot="1" x14ac:dyDescent="0.4">
      <c r="B163" s="2">
        <v>10</v>
      </c>
      <c r="C163" s="2">
        <v>3</v>
      </c>
      <c r="D163" s="2">
        <v>8</v>
      </c>
      <c r="E163" s="2"/>
      <c r="F163" s="2"/>
      <c r="G163" s="2" t="s">
        <v>13</v>
      </c>
      <c r="H163" s="2"/>
      <c r="I163" s="2"/>
      <c r="J163" s="2"/>
      <c r="K163" s="2"/>
      <c r="L163" s="2">
        <v>3</v>
      </c>
      <c r="M163" s="2">
        <v>8</v>
      </c>
    </row>
    <row r="164" spans="2:13" ht="15" thickBot="1" x14ac:dyDescent="0.4">
      <c r="B164" s="13" t="s">
        <v>14</v>
      </c>
      <c r="C164" s="2"/>
      <c r="D164" s="2"/>
      <c r="E164" s="18">
        <v>3</v>
      </c>
      <c r="F164" s="18">
        <v>3</v>
      </c>
      <c r="G164" s="18">
        <v>4</v>
      </c>
      <c r="H164" s="18">
        <f>SUM(H154:H163)</f>
        <v>4</v>
      </c>
      <c r="I164" s="18">
        <f t="shared" ref="I164:M164" si="11">SUM(I154:I163)</f>
        <v>6</v>
      </c>
      <c r="J164" s="18">
        <f t="shared" si="11"/>
        <v>15</v>
      </c>
      <c r="K164" s="18">
        <f t="shared" si="11"/>
        <v>5</v>
      </c>
      <c r="L164" s="18">
        <f t="shared" si="11"/>
        <v>10</v>
      </c>
      <c r="M164" s="18">
        <f t="shared" si="11"/>
        <v>24</v>
      </c>
    </row>
    <row r="166" spans="2:13" ht="15" thickBot="1" x14ac:dyDescent="0.4">
      <c r="B166" t="s">
        <v>60</v>
      </c>
    </row>
    <row r="167" spans="2:13" ht="42.5" customHeight="1" thickBot="1" x14ac:dyDescent="0.4">
      <c r="B167" s="35" t="s">
        <v>16</v>
      </c>
      <c r="C167" s="36"/>
      <c r="D167" s="27" t="s">
        <v>41</v>
      </c>
      <c r="E167" s="28"/>
      <c r="F167" s="27" t="s">
        <v>42</v>
      </c>
      <c r="G167" s="28"/>
      <c r="H167" s="27" t="s">
        <v>19</v>
      </c>
      <c r="I167" s="28"/>
    </row>
    <row r="168" spans="2:13" ht="42.5" customHeight="1" thickBot="1" x14ac:dyDescent="0.4">
      <c r="B168" s="37">
        <v>1</v>
      </c>
      <c r="C168" s="38"/>
      <c r="D168" s="31">
        <f>H164/E164</f>
        <v>1.3333333333333333</v>
      </c>
      <c r="E168" s="32"/>
      <c r="F168" s="29">
        <f>I164/E164</f>
        <v>2</v>
      </c>
      <c r="G168" s="30"/>
      <c r="H168" s="33" t="s">
        <v>72</v>
      </c>
      <c r="I168" s="34"/>
    </row>
    <row r="169" spans="2:13" ht="42.5" customHeight="1" thickBot="1" x14ac:dyDescent="0.4">
      <c r="B169" s="37">
        <v>2</v>
      </c>
      <c r="C169" s="38"/>
      <c r="D169" s="29">
        <f>J164/F164</f>
        <v>5</v>
      </c>
      <c r="E169" s="30"/>
      <c r="F169" s="31">
        <f>K164/F164</f>
        <v>1.6666666666666667</v>
      </c>
      <c r="G169" s="32"/>
      <c r="H169" s="33" t="s">
        <v>61</v>
      </c>
      <c r="I169" s="34"/>
    </row>
    <row r="170" spans="2:13" ht="28.5" customHeight="1" thickBot="1" x14ac:dyDescent="0.4">
      <c r="B170" s="37">
        <v>3</v>
      </c>
      <c r="C170" s="38"/>
      <c r="D170" s="29">
        <f>L164/G164</f>
        <v>2.5</v>
      </c>
      <c r="E170" s="30"/>
      <c r="F170" s="29">
        <f>M164/G164</f>
        <v>6</v>
      </c>
      <c r="G170" s="30"/>
      <c r="H170" s="33" t="s">
        <v>73</v>
      </c>
      <c r="I170" s="34"/>
    </row>
    <row r="172" spans="2:13" x14ac:dyDescent="0.35">
      <c r="B172" s="25" t="s">
        <v>74</v>
      </c>
      <c r="C172" s="25"/>
      <c r="D172" s="25"/>
      <c r="E172" s="25"/>
      <c r="F172" s="25"/>
      <c r="G172" s="25"/>
    </row>
    <row r="173" spans="2:13" ht="15" thickBot="1" x14ac:dyDescent="0.4">
      <c r="B173" s="26" t="s">
        <v>91</v>
      </c>
      <c r="C173" s="26"/>
      <c r="D173" s="26"/>
      <c r="E173" s="26"/>
      <c r="F173" s="26"/>
      <c r="G173" s="26"/>
    </row>
    <row r="174" spans="2:13" ht="28.5" thickBot="1" x14ac:dyDescent="0.4">
      <c r="B174" s="12" t="s">
        <v>1</v>
      </c>
      <c r="C174" s="12" t="s">
        <v>25</v>
      </c>
      <c r="D174" s="12" t="s">
        <v>26</v>
      </c>
      <c r="E174" s="12" t="s">
        <v>75</v>
      </c>
      <c r="F174" s="12" t="s">
        <v>76</v>
      </c>
      <c r="G174" s="12" t="s">
        <v>77</v>
      </c>
      <c r="H174" s="12" t="s">
        <v>64</v>
      </c>
      <c r="I174" s="12" t="s">
        <v>31</v>
      </c>
      <c r="J174" s="12" t="s">
        <v>32</v>
      </c>
    </row>
    <row r="175" spans="2:13" ht="15" thickBot="1" x14ac:dyDescent="0.4">
      <c r="B175" s="2">
        <v>1</v>
      </c>
      <c r="C175" s="2">
        <v>1</v>
      </c>
      <c r="D175" s="2">
        <v>1</v>
      </c>
      <c r="E175" s="19">
        <f>SQRT((C175-$D$168)^2 + (D175-$F$168)^2)</f>
        <v>1.0540925533894598</v>
      </c>
      <c r="F175" s="15">
        <f>SQRT((C175-$D$169)^2 + (D175-$F$169)^2)</f>
        <v>4.0551750201988126</v>
      </c>
      <c r="G175" s="15">
        <f>SQRT((C175-$D$170)^2 + (D175-$F$170)^2)</f>
        <v>5.2201532544552753</v>
      </c>
      <c r="H175" s="16">
        <f>E175</f>
        <v>1.0540925533894598</v>
      </c>
      <c r="I175" s="1">
        <v>1</v>
      </c>
      <c r="J175" s="2">
        <v>1</v>
      </c>
    </row>
    <row r="176" spans="2:13" ht="15" thickBot="1" x14ac:dyDescent="0.4">
      <c r="B176" s="2">
        <v>2</v>
      </c>
      <c r="C176" s="2">
        <v>4</v>
      </c>
      <c r="D176" s="2">
        <v>1</v>
      </c>
      <c r="E176" s="19">
        <f t="shared" ref="E176:E184" si="12">SQRT((C176-$D$168)^2 + (D176-$F$168)^2)</f>
        <v>2.8480012484391772</v>
      </c>
      <c r="F176" s="15">
        <f t="shared" ref="F176:F184" si="13">SQRT((C176-$D$169)^2 + (D176-$F$169)^2)</f>
        <v>1.2018504251546631</v>
      </c>
      <c r="G176" s="15">
        <f t="shared" ref="G176:G184" si="14">SQRT((C176-$D$170)^2 + (D176-$F$170)^2)</f>
        <v>5.2201532544552753</v>
      </c>
      <c r="H176" s="16">
        <f>F176</f>
        <v>1.2018504251546631</v>
      </c>
      <c r="I176" s="1">
        <v>2</v>
      </c>
      <c r="J176" s="2">
        <v>2</v>
      </c>
    </row>
    <row r="177" spans="2:10" ht="15" thickBot="1" x14ac:dyDescent="0.4">
      <c r="B177" s="2">
        <v>3</v>
      </c>
      <c r="C177" s="2">
        <v>6</v>
      </c>
      <c r="D177" s="2">
        <v>1</v>
      </c>
      <c r="E177" s="19">
        <f t="shared" si="12"/>
        <v>4.7726070210921181</v>
      </c>
      <c r="F177" s="15">
        <f t="shared" si="13"/>
        <v>1.2018504251546631</v>
      </c>
      <c r="G177" s="15">
        <f t="shared" si="14"/>
        <v>6.103277807866851</v>
      </c>
      <c r="H177" s="16">
        <f>F177</f>
        <v>1.2018504251546631</v>
      </c>
      <c r="I177" s="1">
        <v>2</v>
      </c>
      <c r="J177" s="2">
        <v>2</v>
      </c>
    </row>
    <row r="178" spans="2:10" ht="15" thickBot="1" x14ac:dyDescent="0.4">
      <c r="B178" s="2">
        <v>4</v>
      </c>
      <c r="C178" s="2">
        <v>1</v>
      </c>
      <c r="D178" s="2">
        <v>2</v>
      </c>
      <c r="E178" s="19">
        <f t="shared" si="12"/>
        <v>0.33333333333333326</v>
      </c>
      <c r="F178" s="15">
        <f t="shared" si="13"/>
        <v>4.0138648595974313</v>
      </c>
      <c r="G178" s="15">
        <f t="shared" si="14"/>
        <v>4.2720018726587652</v>
      </c>
      <c r="H178" s="16">
        <f>E178</f>
        <v>0.33333333333333326</v>
      </c>
      <c r="I178" s="1">
        <v>1</v>
      </c>
      <c r="J178" s="2">
        <v>1</v>
      </c>
    </row>
    <row r="179" spans="2:10" ht="15" thickBot="1" x14ac:dyDescent="0.4">
      <c r="B179" s="2">
        <v>5</v>
      </c>
      <c r="C179" s="2">
        <v>2</v>
      </c>
      <c r="D179" s="2">
        <v>3</v>
      </c>
      <c r="E179" s="19">
        <f t="shared" si="12"/>
        <v>1.2018504251546631</v>
      </c>
      <c r="F179" s="15">
        <f t="shared" si="13"/>
        <v>3.2829526005987018</v>
      </c>
      <c r="G179" s="15">
        <f t="shared" si="14"/>
        <v>3.0413812651491097</v>
      </c>
      <c r="H179" s="16">
        <f>E179</f>
        <v>1.2018504251546631</v>
      </c>
      <c r="I179" s="1">
        <v>1</v>
      </c>
      <c r="J179" s="2">
        <v>1</v>
      </c>
    </row>
    <row r="180" spans="2:10" ht="15" thickBot="1" x14ac:dyDescent="0.4">
      <c r="B180" s="2">
        <v>6</v>
      </c>
      <c r="C180" s="2">
        <v>5</v>
      </c>
      <c r="D180" s="2">
        <v>3</v>
      </c>
      <c r="E180" s="19">
        <f t="shared" si="12"/>
        <v>3.8005847503304602</v>
      </c>
      <c r="F180" s="15">
        <f t="shared" si="13"/>
        <v>1.3333333333333333</v>
      </c>
      <c r="G180" s="15">
        <f t="shared" si="14"/>
        <v>3.905124837953327</v>
      </c>
      <c r="H180" s="16">
        <f>F180</f>
        <v>1.3333333333333333</v>
      </c>
      <c r="I180" s="1">
        <v>2</v>
      </c>
      <c r="J180" s="2">
        <v>2</v>
      </c>
    </row>
    <row r="181" spans="2:10" ht="15" thickBot="1" x14ac:dyDescent="0.4">
      <c r="B181" s="2">
        <v>7</v>
      </c>
      <c r="C181" s="2">
        <v>2</v>
      </c>
      <c r="D181" s="2">
        <v>5</v>
      </c>
      <c r="E181" s="19">
        <f t="shared" si="12"/>
        <v>3.0731814857642958</v>
      </c>
      <c r="F181" s="15">
        <f t="shared" si="13"/>
        <v>4.4845413490245694</v>
      </c>
      <c r="G181" s="15">
        <f t="shared" si="14"/>
        <v>1.1180339887498949</v>
      </c>
      <c r="H181" s="16">
        <f>G181</f>
        <v>1.1180339887498949</v>
      </c>
      <c r="I181" s="1">
        <v>3</v>
      </c>
      <c r="J181" s="2">
        <v>3</v>
      </c>
    </row>
    <row r="182" spans="2:10" ht="15" thickBot="1" x14ac:dyDescent="0.4">
      <c r="B182" s="2">
        <v>8</v>
      </c>
      <c r="C182" s="2">
        <v>3</v>
      </c>
      <c r="D182" s="2">
        <v>5</v>
      </c>
      <c r="E182" s="19">
        <f t="shared" si="12"/>
        <v>3.4318767136623336</v>
      </c>
      <c r="F182" s="15">
        <f t="shared" si="13"/>
        <v>3.8873012632302002</v>
      </c>
      <c r="G182" s="15">
        <f t="shared" si="14"/>
        <v>1.1180339887498949</v>
      </c>
      <c r="H182" s="16">
        <f>G182</f>
        <v>1.1180339887498949</v>
      </c>
      <c r="I182" s="1">
        <v>3</v>
      </c>
      <c r="J182" s="2">
        <v>3</v>
      </c>
    </row>
    <row r="183" spans="2:10" ht="15" thickBot="1" x14ac:dyDescent="0.4">
      <c r="B183" s="2">
        <v>9</v>
      </c>
      <c r="C183" s="2">
        <v>2</v>
      </c>
      <c r="D183" s="2">
        <v>6</v>
      </c>
      <c r="E183" s="19">
        <f t="shared" si="12"/>
        <v>4.0551750201988126</v>
      </c>
      <c r="F183" s="15">
        <f t="shared" si="13"/>
        <v>5.2704627669472988</v>
      </c>
      <c r="G183" s="15">
        <f t="shared" si="14"/>
        <v>0.5</v>
      </c>
      <c r="H183" s="16">
        <f>G183</f>
        <v>0.5</v>
      </c>
      <c r="I183" s="1">
        <v>3</v>
      </c>
      <c r="J183" s="2">
        <v>3</v>
      </c>
    </row>
    <row r="184" spans="2:10" ht="15" thickBot="1" x14ac:dyDescent="0.4">
      <c r="B184" s="2">
        <v>10</v>
      </c>
      <c r="C184" s="2">
        <v>3</v>
      </c>
      <c r="D184" s="2">
        <v>8</v>
      </c>
      <c r="E184" s="19">
        <f t="shared" si="12"/>
        <v>6.2271805640898013</v>
      </c>
      <c r="F184" s="15">
        <f t="shared" si="13"/>
        <v>6.641619615057091</v>
      </c>
      <c r="G184" s="15">
        <f t="shared" si="14"/>
        <v>2.0615528128088303</v>
      </c>
      <c r="H184" s="16">
        <f>G184</f>
        <v>2.0615528128088303</v>
      </c>
      <c r="I184" s="1">
        <v>3</v>
      </c>
      <c r="J184" s="2">
        <v>3</v>
      </c>
    </row>
    <row r="185" spans="2:10" ht="15" thickBot="1" x14ac:dyDescent="0.4">
      <c r="B185" s="12" t="s">
        <v>14</v>
      </c>
      <c r="C185" s="2"/>
      <c r="D185" s="2"/>
      <c r="E185" s="2"/>
      <c r="F185" s="2"/>
      <c r="G185" s="2"/>
      <c r="H185" s="17">
        <f>SUM(H175:H184)</f>
        <v>11.123931285828736</v>
      </c>
      <c r="I185" s="2"/>
      <c r="J185" s="2"/>
    </row>
    <row r="187" spans="2:10" x14ac:dyDescent="0.35">
      <c r="B187" s="24" t="s">
        <v>78</v>
      </c>
      <c r="C187" s="24"/>
      <c r="D187" s="24"/>
      <c r="E187" s="24"/>
      <c r="F187" s="24"/>
      <c r="G187" s="24"/>
      <c r="H187" s="24"/>
      <c r="I187" s="24"/>
      <c r="J187" s="24"/>
    </row>
    <row r="189" spans="2:10" x14ac:dyDescent="0.35">
      <c r="B189" s="3" t="s">
        <v>33</v>
      </c>
    </row>
    <row r="190" spans="2:10" x14ac:dyDescent="0.35">
      <c r="B190" s="22" t="s">
        <v>92</v>
      </c>
      <c r="C190" s="22"/>
      <c r="D190" s="22"/>
      <c r="E190" s="22"/>
    </row>
    <row r="191" spans="2:10" x14ac:dyDescent="0.35">
      <c r="B191" s="23" t="s">
        <v>93</v>
      </c>
      <c r="C191" s="23"/>
      <c r="D191" s="23"/>
      <c r="E191" s="23"/>
    </row>
    <row r="192" spans="2:10" x14ac:dyDescent="0.35">
      <c r="B192" s="22" t="s">
        <v>99</v>
      </c>
      <c r="C192" s="22"/>
      <c r="D192" s="22"/>
      <c r="E192" s="22"/>
    </row>
    <row r="194" spans="2:9" x14ac:dyDescent="0.35">
      <c r="B194" s="4" t="s">
        <v>79</v>
      </c>
    </row>
    <row r="196" spans="2:9" x14ac:dyDescent="0.35">
      <c r="B196" t="s">
        <v>80</v>
      </c>
    </row>
    <row r="197" spans="2:9" ht="15" thickBot="1" x14ac:dyDescent="0.4">
      <c r="B197" s="21" t="s">
        <v>81</v>
      </c>
      <c r="C197" s="21"/>
      <c r="D197" s="21"/>
      <c r="E197" s="21"/>
      <c r="F197" s="21"/>
      <c r="G197" s="21"/>
      <c r="H197" s="21"/>
      <c r="I197" s="21"/>
    </row>
    <row r="198" spans="2:9" ht="15" thickBot="1" x14ac:dyDescent="0.4">
      <c r="B198" s="1" t="s">
        <v>1</v>
      </c>
      <c r="C198" s="1" t="s">
        <v>2</v>
      </c>
      <c r="D198" s="1" t="s">
        <v>3</v>
      </c>
      <c r="E198" s="1" t="s">
        <v>82</v>
      </c>
    </row>
    <row r="199" spans="2:9" ht="15" thickBot="1" x14ac:dyDescent="0.4">
      <c r="B199" s="2">
        <v>1</v>
      </c>
      <c r="C199" s="2">
        <v>1</v>
      </c>
      <c r="D199" s="2">
        <v>1</v>
      </c>
      <c r="E199" s="1">
        <v>1</v>
      </c>
    </row>
    <row r="200" spans="2:9" ht="15" thickBot="1" x14ac:dyDescent="0.4">
      <c r="B200" s="2">
        <v>2</v>
      </c>
      <c r="C200" s="2">
        <v>4</v>
      </c>
      <c r="D200" s="2">
        <v>1</v>
      </c>
      <c r="E200" s="1">
        <v>2</v>
      </c>
    </row>
    <row r="201" spans="2:9" ht="15" thickBot="1" x14ac:dyDescent="0.4">
      <c r="B201" s="2">
        <v>3</v>
      </c>
      <c r="C201" s="2">
        <v>6</v>
      </c>
      <c r="D201" s="2">
        <v>1</v>
      </c>
      <c r="E201" s="1">
        <v>2</v>
      </c>
    </row>
    <row r="202" spans="2:9" ht="15" thickBot="1" x14ac:dyDescent="0.4">
      <c r="B202" s="2">
        <v>4</v>
      </c>
      <c r="C202" s="2">
        <v>1</v>
      </c>
      <c r="D202" s="2">
        <v>2</v>
      </c>
      <c r="E202" s="1">
        <v>1</v>
      </c>
    </row>
    <row r="203" spans="2:9" ht="15" thickBot="1" x14ac:dyDescent="0.4">
      <c r="B203" s="2">
        <v>5</v>
      </c>
      <c r="C203" s="2">
        <v>2</v>
      </c>
      <c r="D203" s="2">
        <v>3</v>
      </c>
      <c r="E203" s="1">
        <v>1</v>
      </c>
    </row>
    <row r="204" spans="2:9" ht="15" thickBot="1" x14ac:dyDescent="0.4">
      <c r="B204" s="2">
        <v>6</v>
      </c>
      <c r="C204" s="2">
        <v>5</v>
      </c>
      <c r="D204" s="2">
        <v>3</v>
      </c>
      <c r="E204" s="1">
        <v>2</v>
      </c>
    </row>
    <row r="205" spans="2:9" ht="15" thickBot="1" x14ac:dyDescent="0.4">
      <c r="B205" s="2">
        <v>7</v>
      </c>
      <c r="C205" s="2">
        <v>2</v>
      </c>
      <c r="D205" s="2">
        <v>5</v>
      </c>
      <c r="E205" s="1">
        <v>3</v>
      </c>
    </row>
    <row r="206" spans="2:9" ht="15" thickBot="1" x14ac:dyDescent="0.4">
      <c r="B206" s="2">
        <v>8</v>
      </c>
      <c r="C206" s="2">
        <v>3</v>
      </c>
      <c r="D206" s="2">
        <v>5</v>
      </c>
      <c r="E206" s="1">
        <v>3</v>
      </c>
    </row>
    <row r="207" spans="2:9" ht="15" thickBot="1" x14ac:dyDescent="0.4">
      <c r="B207" s="2">
        <v>9</v>
      </c>
      <c r="C207" s="2">
        <v>2</v>
      </c>
      <c r="D207" s="2">
        <v>6</v>
      </c>
      <c r="E207" s="1">
        <v>3</v>
      </c>
    </row>
    <row r="208" spans="2:9" ht="15" thickBot="1" x14ac:dyDescent="0.4">
      <c r="B208" s="2">
        <v>10</v>
      </c>
      <c r="C208" s="2">
        <v>3</v>
      </c>
      <c r="D208" s="2">
        <v>8</v>
      </c>
      <c r="E208" s="1">
        <v>3</v>
      </c>
    </row>
  </sheetData>
  <mergeCells count="114">
    <mergeCell ref="B17:C17"/>
    <mergeCell ref="D17:E17"/>
    <mergeCell ref="F17:G17"/>
    <mergeCell ref="H17:I17"/>
    <mergeCell ref="H18:I18"/>
    <mergeCell ref="H19:I19"/>
    <mergeCell ref="H20:I20"/>
    <mergeCell ref="B18:C18"/>
    <mergeCell ref="B19:C19"/>
    <mergeCell ref="B20:C20"/>
    <mergeCell ref="D18:E18"/>
    <mergeCell ref="D19:E19"/>
    <mergeCell ref="D20:E20"/>
    <mergeCell ref="B46:D46"/>
    <mergeCell ref="B65:C65"/>
    <mergeCell ref="D65:E65"/>
    <mergeCell ref="F65:G65"/>
    <mergeCell ref="B45:C45"/>
    <mergeCell ref="B47:C47"/>
    <mergeCell ref="B37:C37"/>
    <mergeCell ref="F18:G18"/>
    <mergeCell ref="F19:G19"/>
    <mergeCell ref="F20:G20"/>
    <mergeCell ref="B66:C66"/>
    <mergeCell ref="B67:C67"/>
    <mergeCell ref="B68:C68"/>
    <mergeCell ref="D66:E66"/>
    <mergeCell ref="D67:E67"/>
    <mergeCell ref="D68:E68"/>
    <mergeCell ref="F66:G66"/>
    <mergeCell ref="F67:G67"/>
    <mergeCell ref="F68:G68"/>
    <mergeCell ref="B93:K93"/>
    <mergeCell ref="H24:I24"/>
    <mergeCell ref="H25:I25"/>
    <mergeCell ref="H26:I26"/>
    <mergeCell ref="H27:I27"/>
    <mergeCell ref="H28:I28"/>
    <mergeCell ref="H29:I29"/>
    <mergeCell ref="H30:I30"/>
    <mergeCell ref="H31:I31"/>
    <mergeCell ref="B86:D86"/>
    <mergeCell ref="B87:D87"/>
    <mergeCell ref="B90:E90"/>
    <mergeCell ref="B91:D91"/>
    <mergeCell ref="B92:E92"/>
    <mergeCell ref="H66:I66"/>
    <mergeCell ref="H67:I67"/>
    <mergeCell ref="H68:I68"/>
    <mergeCell ref="B70:F70"/>
    <mergeCell ref="B71:I71"/>
    <mergeCell ref="B85:C85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32:I32"/>
    <mergeCell ref="H33:I33"/>
    <mergeCell ref="H34:I34"/>
    <mergeCell ref="H35:I35"/>
    <mergeCell ref="H72:I72"/>
    <mergeCell ref="H73:I73"/>
    <mergeCell ref="H65:I65"/>
    <mergeCell ref="B151:F151"/>
    <mergeCell ref="H118:I118"/>
    <mergeCell ref="H119:I119"/>
    <mergeCell ref="H120:I120"/>
    <mergeCell ref="H121:I121"/>
    <mergeCell ref="B118:C118"/>
    <mergeCell ref="B119:C119"/>
    <mergeCell ref="B120:C120"/>
    <mergeCell ref="B121:C121"/>
    <mergeCell ref="D118:E118"/>
    <mergeCell ref="D119:E119"/>
    <mergeCell ref="D120:E120"/>
    <mergeCell ref="D121:E121"/>
    <mergeCell ref="F118:G118"/>
    <mergeCell ref="F119:G119"/>
    <mergeCell ref="F120:G120"/>
    <mergeCell ref="F121:G121"/>
    <mergeCell ref="B146:F146"/>
    <mergeCell ref="B147:F147"/>
    <mergeCell ref="B148:F148"/>
    <mergeCell ref="B149:F149"/>
    <mergeCell ref="B150:F150"/>
    <mergeCell ref="B197:I197"/>
    <mergeCell ref="B190:E190"/>
    <mergeCell ref="B191:E191"/>
    <mergeCell ref="B192:E192"/>
    <mergeCell ref="B187:J187"/>
    <mergeCell ref="B172:G172"/>
    <mergeCell ref="B173:G173"/>
    <mergeCell ref="F167:G167"/>
    <mergeCell ref="F168:G168"/>
    <mergeCell ref="F169:G169"/>
    <mergeCell ref="F170:G170"/>
    <mergeCell ref="H167:I167"/>
    <mergeCell ref="H168:I168"/>
    <mergeCell ref="H169:I169"/>
    <mergeCell ref="H170:I170"/>
    <mergeCell ref="B167:C167"/>
    <mergeCell ref="B168:C168"/>
    <mergeCell ref="B169:C169"/>
    <mergeCell ref="B170:C170"/>
    <mergeCell ref="D167:E167"/>
    <mergeCell ref="D168:E168"/>
    <mergeCell ref="D169:E169"/>
    <mergeCell ref="D170:E170"/>
  </mergeCells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 workplus</dc:creator>
  <cp:lastModifiedBy>advan workplus</cp:lastModifiedBy>
  <dcterms:created xsi:type="dcterms:W3CDTF">2026-01-10T11:08:07Z</dcterms:created>
  <dcterms:modified xsi:type="dcterms:W3CDTF">2026-01-12T14:13:11Z</dcterms:modified>
</cp:coreProperties>
</file>